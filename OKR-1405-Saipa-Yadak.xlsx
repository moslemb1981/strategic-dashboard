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راهنما" sheetId="1" state="visible" r:id="rId3"/>
    <sheet name="OKR شرکت" sheetId="2" state="visible" r:id="rId4"/>
    <sheet name="OKR معاونت‌ها" sheetId="3" state="visible" r:id="rId5"/>
    <sheet name="OKR مدیریت‌ها" sheetId="4" state="visible" r:id="rId6"/>
    <sheet name="ردیابی هم‌راستایی" sheetId="5" state="visible" r:id="rId7"/>
    <sheet name="پوشش استراتژی‌ها" sheetId="6" state="visible" r:id="rId8"/>
    <sheet name="شاخص‌های خارج از OKR" sheetId="7" state="visible" r:id="rId9"/>
    <sheet name="کیفیت داده" sheetId="8" state="visible" r:id="rId10"/>
  </sheets>
  <definedNames>
    <definedName function="false" hidden="true" localSheetId="1" name="_xlnm._FilterDatabase" vbProcedure="false">'OKR شرکت'!$A$4:$Q$4</definedName>
    <definedName function="false" hidden="true" localSheetId="3" name="_xlnm._FilterDatabase" vbProcedure="false">'OKR مدیریت‌ها'!$A$4:$Q$4</definedName>
    <definedName function="false" hidden="true" localSheetId="2" name="_xlnm._FilterDatabase" vbProcedure="false">'OKR معاونت‌ها'!$A$4:$Q$4</definedName>
    <definedName function="false" hidden="true" localSheetId="5" name="_xlnm._FilterDatabase" vbProcedure="false">'پوشش استراتژی‌ها'!$A$1:$G$1</definedName>
    <definedName function="false" hidden="true" localSheetId="4" name="_xlnm._FilterDatabase" vbProcedure="false">'ردیابی هم‌راستایی'!$A$1:$K$1</definedName>
    <definedName function="false" hidden="true" localSheetId="6" name="_xlnm._FilterDatabase" vbProcedure="false">'شاخص‌های خارج از OKR'!$A$1:$J$1</definedName>
    <definedName function="false" hidden="true" localSheetId="7" name="_xlnm._FilterDatabase" vbProcedure="false">'کیفیت داده'!$A$1:$I$1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<sst xmlns="http://schemas.openxmlformats.org/spreadsheetml/2006/main" count="7409" uniqueCount="2333">
  <si>
    <t xml:space="preserve">OKR سالانه ۱۴۰۵ — سه سطح: شرکت، معاونت، مدیریت</t>
  </si>
  <si>
    <t xml:space="preserve">شرکت سایپا یدک — استخراج‌شده از سامانهٔ فانوس (استراتژی‌های وظیفه‌ای، نقشهٔ استراتژیک و شاخص‌های عملیاتی)</t>
  </si>
  <si>
    <t xml:space="preserve">ساختار فایل</t>
  </si>
  <si>
    <t xml:space="preserve">OKR شرکت</t>
  </si>
  <si>
    <t xml:space="preserve">5 هدف و 29 نتیجه‌ی کلیدی — سطح راهبردی سازمان (هم‌راستا با اهداف O1–O17 و شاخص‌های I1–I25)</t>
  </si>
  <si>
    <t xml:space="preserve">OKR معاونت‌ها</t>
  </si>
  <si>
    <t xml:space="preserve">9 گروه (۸ معاونت + مدیریت‌های مستقل) × ۳ هدف = 27 هدف و 88 KR؛ هر هدف به یک هدف شرکت وصل است</t>
  </si>
  <si>
    <t xml:space="preserve">OKR مدیریت‌ها</t>
  </si>
  <si>
    <t xml:space="preserve">34 مدیریت/اداره، 109 هدف و 317 KR؛ هر هدف به یک هدف معاونت و به استراتژی‌های وظیفه‌ای و اهداف نقشهٔ استراتژیک متصل است</t>
  </si>
  <si>
    <t xml:space="preserve">ردیابی هم‌راستایی</t>
  </si>
  <si>
    <t xml:space="preserve">جدول تخت: مدیریت ← هدف مدیریت ← هدف معاونت ← هدف شرکت + استراتژی‌های وظیفه‌ای + اهداف نقشه</t>
  </si>
  <si>
    <t xml:space="preserve">پوشش استراتژی‌ها</t>
  </si>
  <si>
    <t xml:space="preserve">هر استراتژی وظیفه‌ای فایل نهایی (228 مورد) به یک هدف OKR نگاشت شده است؛ پوشش ۱۰۰٪</t>
  </si>
  <si>
    <t xml:space="preserve">مبنای استراتژی‌ها</t>
  </si>
  <si>
    <t xml:space="preserve">فایل نهایی استراتژی‌های وظیفه‌ای (۱۴۰۵/۰۷/۲۵) برای ۳۳ مدیریت. مدیریت بازرسی در آن فایل نیست و با آخرین نسخه‌ی ثبت‌شده در سیستم نگه داشته شد. پیوند استراتژی‌های بازنویسی‌شده به نقشه، از شاخص‌های KR استنباط شده و باید در سیستم تأیید شود.</t>
  </si>
  <si>
    <t xml:space="preserve">شاخص‌های خارج از OKR</t>
  </si>
  <si>
    <t xml:space="preserve">شاخص‌های عملیاتی که در KR نیامده‌اند و در پایش جاری (BAU) باقی می‌مانند</t>
  </si>
  <si>
    <t xml:space="preserve">کیفیت داده</t>
  </si>
  <si>
    <t xml:space="preserve">فهرست KRهایی که داده‌ی مبنا/هدف آن‌ها نیاز به بازبینی یا تعیین دارد</t>
  </si>
  <si>
    <t xml:space="preserve">نحوه‌ی خواندن و به‌روزرسانی</t>
  </si>
  <si>
    <t xml:space="preserve">رنگ‌ها</t>
  </si>
  <si>
    <t xml:space="preserve">سلول هدف سبز = هدف ثبت‌شده در سیستم؛ زرد = هدف پیشنهادی یا نیازمند تعیین/تأیید مدیر. ستون «مقدار فعلی (ورودی)» آبی است و برای ثبت پیشرفت فصلی به‌روز می‌شود.</t>
  </si>
  <si>
    <t xml:space="preserve">٪ پیشرفت</t>
  </si>
  <si>
    <t xml:space="preserve">فرمول = (مقدار فعلی − نقطه‌ی شروع) ÷ (هدف − نقطه‌ی شروع) با سقف ۰ تا ۱۰۰٪. ردیف هر هدف، میانگین KRهای خود را نشان می‌دهد.</t>
  </si>
  <si>
    <t xml:space="preserve">نقطه‌ی شروع</t>
  </si>
  <si>
    <t xml:space="preserve">برای شاخص‌های تجمعی (فروش، درآمد، تعداد) صفر در ابتدای سال؛ برای شاخص‌های سطحی (درصد، روز، PPM) وضع موجود ۱۴۰۵ (و در نبود آن، واقعی ۱۴۰۴).</t>
  </si>
  <si>
    <t xml:space="preserve">جهت بهبود</t>
  </si>
  <si>
    <t xml:space="preserve">به‌صورت خودکار از عنوان شاخص تعیین شد (زمان/نرخ شکایت/برگشت/هزینه/ضایعات = کاهشی؛ بقیه افزایشی) — لطفاً مرور شود.</t>
  </si>
  <si>
    <t xml:space="preserve">فرض‌ها و محدودیت‌های مهم (حتماً بخوانید)</t>
  </si>
  <si>
    <t xml:space="preserve">۱) هدف سالانه‌ی شاخص‌های تجمعی</t>
  </si>
  <si>
    <t xml:space="preserve">در سیستم، اعداد هدف/عملکرد ۱۴۰۵ «تجمعی تا تاریخ» ثبت شده‌اند (برچسب «تجمعی» در مدل داده). با فرض ۶ماهه بودن آن‌ها، هدف سالانه = بیشینه‌ی (الف) ۱۰٪ رشد نسبت به واقعی ۱۴۰۴، (ب) هدف تجمعی ۱۴۰۵ × ۲، (پ) عملکرد تجمعی ۱۴۰۵ × ۲ — با سقف ۲ برابر مبنا. این‌ها «پیشنهادی» هستند و باید توسط مدیران تأیید شوند. (فرض ۶ماهه: ماه پایان دوره در دیتابیس ثبت نشده است.)</t>
  </si>
  <si>
    <t xml:space="preserve">۲) شاخص‌های سطحی</t>
  </si>
  <si>
    <t xml:space="preserve">اگر هدف ثبت‌شده‌ی ۱۴۰۵ نسبت به وضع موجود بهبود واقعی بود همان به‌کار رفت؛ وگرنه هدف تحقق‌نیافته‌ی ۱۴۰۴ (یا نیمه‌راه تا آن، اگر فاصله بیش از ۱۵٪ بود) و در نهایت ۵٪ بهبود پیشنهاد شد. منبع هر هدف در ستون «منبع هدف» آمده است.</t>
  </si>
  <si>
    <t xml:space="preserve">۳) KRهای پیشنهادی</t>
  </si>
  <si>
    <t xml:space="preserve">در ۴ مدیریت بدون شاخص در سیستم (بازرسی، حراست، حسابرسی داخلی، حسابداری بازرگانی و خدمات پس از فروش) و برای فعالیت‌های بدون شاخص، KR از «خروجی مورد انتظار» استراتژی وظیفه‌ای نوشته شده؛ اعداد آن‌ها پیشنهاد اولیه و نیازمند تأیید مدیر است.</t>
  </si>
  <si>
    <t xml:space="preserve">۴) تعداد مدیریت‌ها</t>
  </si>
  <si>
    <t xml:space="preserve">پایگاه داده ۳۴ مدیریت/اداره‌ی دارای استراتژی وظیفه‌ای دارد (نه ۳۵) و همه در فایل آمده‌اند. اگر مدیریت ۳۵م وجود دارد، ابتدا باید استراتژی‌های وظیفه‌ای آن در سیستم ثبت شود.</t>
  </si>
  <si>
    <t xml:space="preserve">۵) شاخص‌های بدون داده</t>
  </si>
  <si>
    <t xml:space="preserve">برخی شاخص‌ها (مثلاً فروش گروه‌های بازرگانی) در سیستم فقط مقدار صفر دارند؛ در KR با برچسب «بدون داده» آمده و یک KR عمومی (تحقق حداقل ۹۵٪ برنامه) در کنار آن‌ها قرار گرفته تا هدف قابل پایش باشد.</t>
  </si>
  <si>
    <t xml:space="preserve">۶) محرمانگی</t>
  </si>
  <si>
    <t xml:space="preserve">اگر شاخصی «محرمانه» علامت خورده باشد، پیش از توزیع فایل مرور شود.</t>
  </si>
  <si>
    <t xml:space="preserve">چشم‌انداز</t>
  </si>
  <si>
    <t xml:space="preserve">رهبری بازار خدمات پس از فروش و بازرگانی قطعات یدکی تا افق ۱۴۱۰، از طریق خلق تجربه‌ی متمایز برای مشتریان خودروهای سواری و تجاری سبک گروه خودروسازی سایپا، با تکیه بر نوآوری و بهبود مستمر در دوران تعهد خودرو، در هر زمان و هر مکان.</t>
  </si>
  <si>
    <t xml:space="preserve">مأموریت</t>
  </si>
  <si>
    <t xml:space="preserve">اعتمادآفرینی و ارزش‌آفرینی برای مشتریان خودروهای سواری و تجاری سبک گروه خودروسازی سایپا از طریق ارائه سبد متنوع از خدمات، بازرگانی قطعات یدکی و بهره‌گیری از راهکارهای نوین و بسترهای دیجیتال فروش.</t>
  </si>
  <si>
    <t xml:space="preserve">OKR سطح شرکت — ۱۴۰۵</t>
  </si>
  <si>
    <t xml:space="preserve">۵ هدف راهبردی؛ KRها از شاخص‌های کلان شرکت (I1–I25) و شاخص‌های عملیاتی مرتبط</t>
  </si>
  <si>
    <t xml:space="preserve">کد</t>
  </si>
  <si>
    <t xml:space="preserve">واحد</t>
  </si>
  <si>
    <t xml:space="preserve">شرح هدف (Objective) / نتیجه‌ی کلیدی (KR)</t>
  </si>
  <si>
    <t xml:space="preserve">هدف بالادستی (هم‌راستایی)</t>
  </si>
  <si>
    <t xml:space="preserve">کد شاخص</t>
  </si>
  <si>
    <t xml:space="preserve">واحد اندازه‌گیری</t>
  </si>
  <si>
    <t xml:space="preserve">واقعی ۱۴۰۴</t>
  </si>
  <si>
    <t xml:space="preserve">وضع موجود ۱۴۰۵ (تا تاریخ)</t>
  </si>
  <si>
    <t xml:space="preserve">نقطه‌ی شروع پیشرفت</t>
  </si>
  <si>
    <t xml:space="preserve">هدف سالانه ۱۴۰۵</t>
  </si>
  <si>
    <t xml:space="preserve">منبع هدف</t>
  </si>
  <si>
    <t xml:space="preserve">مقدار فعلی (ورودی)</t>
  </si>
  <si>
    <t xml:space="preserve">نکته‌ی کیفیت داده / توضیح</t>
  </si>
  <si>
    <t xml:space="preserve">استراتژی‌های وظیفه‌ای مرتبط</t>
  </si>
  <si>
    <t xml:space="preserve">اهداف نقشه‌ی استراتژیک مرتبط</t>
  </si>
  <si>
    <t xml:space="preserve">C1</t>
  </si>
  <si>
    <t xml:space="preserve">شرکت</t>
  </si>
  <si>
    <t xml:space="preserve">هدف: رشد سهم بازار و درآمد قطعات و خدمات پس از فروش</t>
  </si>
  <si>
    <t xml:space="preserve">چشم‌انداز و مأموریت شرکت</t>
  </si>
  <si>
    <t xml:space="preserve">میانگین ←</t>
  </si>
  <si>
    <t xml:space="preserve">OKR معاونتی پشتیبان: D3-1، D4-1، D5-2، D5-3</t>
  </si>
  <si>
    <t xml:space="preserve">تحقق چشم‌انداز «رهبری بازار» مستلزم رشد پایدار فروش در کانال‌های قطعه، آپشن، کارت طلایی و تعمیرگاه‌های مرکزی است.</t>
  </si>
  <si>
    <t xml:space="preserve">O1 افزایش فروش از فروشگاهها، تعمیرگاهها، مشتریان جدید، نمایندگان و تعمیرکاران آزاد؛ O2 افزایش درآمد اتصال قطعه سازان و واردکنندگان به شبکه و مشتری؛ O3 تنوع قطعات و خدمات؛ O4 قیمت گذاری هوشمند؛ O6 توسعه قابلیتهای ارائه خدمات تخصصی به خودروهای برقی و هیبریدی</t>
  </si>
  <si>
    <t xml:space="preserve">C1-K1</t>
  </si>
  <si>
    <t xml:space="preserve">افزایش «فروش خالص ریالی قطعات یدکی برند یک»</t>
  </si>
  <si>
    <t xml:space="preserve">I2</t>
  </si>
  <si>
    <t xml:space="preserve">میلیارد ریال</t>
  </si>
  <si>
    <t xml:space="preserve">↑ افزایشی</t>
  </si>
  <si>
    <t xml:space="preserve">پیشنهادی: بیشینهٔ «۱۰٪ رشد نسبت به واقعی ۱۴۰۴»، «هدف تجمعی ثبت‌شده ۱۴۰۵ × ۲» و «روند عملکرد ۱۴۰۵ × ۲» (فرض: داده‌ها ۶ماهه)</t>
  </si>
  <si>
    <t xml:space="preserve">C1-K2</t>
  </si>
  <si>
    <t xml:space="preserve">افزایش «فروش خالص تعدادی قطعات یدکی برند یک»</t>
  </si>
  <si>
    <t xml:space="preserve">I3</t>
  </si>
  <si>
    <t xml:space="preserve">تعدادی</t>
  </si>
  <si>
    <t xml:space="preserve">C1-K3</t>
  </si>
  <si>
    <t xml:space="preserve">افزایش «فروش ریالی خالص قطعات آپشن»</t>
  </si>
  <si>
    <t xml:space="preserve">I5</t>
  </si>
  <si>
    <t xml:space="preserve">پیشنهادی: بیشینهٔ «۱۰٪ رشد نسبت به واقعی ۱۴۰۴»، «هدف تجمعی ثبت‌شده ۱۴۰۵ × ۲» و «روند عملکرد ۱۴۰۵ × ۲» (فرض: داده‌ها ۶ماهه) | سقف ۲ برابر مبنا اعمال شد (محاسبه‌ی خام: 4430)</t>
  </si>
  <si>
    <t xml:space="preserve">C1-K4</t>
  </si>
  <si>
    <t xml:space="preserve">افزایش «فروش خالص ریالی کارت طلایی»</t>
  </si>
  <si>
    <t xml:space="preserve">I7</t>
  </si>
  <si>
    <t xml:space="preserve">C1-K5</t>
  </si>
  <si>
    <t xml:space="preserve">افزایش «درآمد تعمیرگاه های مرکزی»</t>
  </si>
  <si>
    <t xml:space="preserve">I9</t>
  </si>
  <si>
    <t xml:space="preserve">C1-K6</t>
  </si>
  <si>
    <t xml:space="preserve">ارتقای «سهم بازار قطعات یدکی سایپا یدک»</t>
  </si>
  <si>
    <t xml:space="preserve">C-02-00</t>
  </si>
  <si>
    <t xml:space="preserve">درصد</t>
  </si>
  <si>
    <t xml:space="preserve">هدف ۱۴۰۴ (تحقق‌نیافته) بازتعیین شد</t>
  </si>
  <si>
    <t xml:space="preserve">C1-K7</t>
  </si>
  <si>
    <t xml:space="preserve">رونمایی و عرضه حداقل ۱ بسته خدمت تخصصی خودروهای برقی/هیبریدی (هدف O6)</t>
  </si>
  <si>
    <t xml:space="preserve">—</t>
  </si>
  <si>
    <t xml:space="preserve">پیشنهادی — نیازمند تأیید مدیر</t>
  </si>
  <si>
    <t xml:space="preserve">C2</t>
  </si>
  <si>
    <t xml:space="preserve">هدف: سودآوری و سلامت مالی پایدار شرکت</t>
  </si>
  <si>
    <t xml:space="preserve">OKR معاونتی پشتیبان: D1-3، D6-3، D7-1، D7-2، D7-3</t>
  </si>
  <si>
    <t xml:space="preserve">سود، جریان نقد و وصول مطالبات پیش‌نیاز تداوم سرمایه‌گذاری در شبکه و موجودی هستند.</t>
  </si>
  <si>
    <t xml:space="preserve">O4 قیمت گذاری هوشمند؛ O5 شفافیت و تسهیل برگشت از فروش/ خرید</t>
  </si>
  <si>
    <t xml:space="preserve">C2-K1</t>
  </si>
  <si>
    <t xml:space="preserve">افزایش «سود (زیان) خالص شرکت»</t>
  </si>
  <si>
    <t xml:space="preserve">I1</t>
  </si>
  <si>
    <t xml:space="preserve">هدف ثبت‌شده‌ی ۱۴۰۵ در سیستم منفی (زیان بودجه‌ای) است؛ هدف OKR سودآوری فرض شده</t>
  </si>
  <si>
    <t xml:space="preserve">C2-K2</t>
  </si>
  <si>
    <t xml:space="preserve">افزایش «درآمد کل (درآمد های عملیاتی)»</t>
  </si>
  <si>
    <t xml:space="preserve">SP-210-04</t>
  </si>
  <si>
    <t xml:space="preserve">C2-K3</t>
  </si>
  <si>
    <t xml:space="preserve">افزایش «سود (زیان) عملیاتی»</t>
  </si>
  <si>
    <t xml:space="preserve">SP-30-00</t>
  </si>
  <si>
    <t xml:space="preserve">C2-K4</t>
  </si>
  <si>
    <t xml:space="preserve">کاهش «دوره وصول مطالبات شبکه»</t>
  </si>
  <si>
    <t xml:space="preserve">EF-01-09</t>
  </si>
  <si>
    <t xml:space="preserve">روز</t>
  </si>
  <si>
    <t xml:space="preserve">↓ کاهشی</t>
  </si>
  <si>
    <t xml:space="preserve">هدف ثبت‌شده در سیستم برای ۱۴۰۵</t>
  </si>
  <si>
    <t xml:space="preserve">C2-K5</t>
  </si>
  <si>
    <t xml:space="preserve">افزایش «میزان جذب و تمدید منابع مالی از سیستم بانکی»</t>
  </si>
  <si>
    <t xml:space="preserve">SP-35-02</t>
  </si>
  <si>
    <t xml:space="preserve">C3</t>
  </si>
  <si>
    <t xml:space="preserve">هدف: تجربه متمایز مشتری و کیفیت خدمات پس از فروش</t>
  </si>
  <si>
    <t xml:space="preserve">OKR معاونتی پشتیبان: D1-1، D1-2، D2-1، D2-2، D3-2، D4-2</t>
  </si>
  <si>
    <t xml:space="preserve">رضایت مشتری و نمایندگی‌ها، کاهش برگشت و شکایت و کوتاه‌شدن زمان خدمت، هسته‌ی ارزش‌پیشنهادی شرکت است.</t>
  </si>
  <si>
    <t xml:space="preserve">O5 شفافیت و تسهیل برگشت از فروش/ خرید؛ O8 ارائه بسته های خدمت متنوع و سفارشی شده؛ O9 تامین به موقع خدمت گارانتی و ارسال مسئولانه قطعه به نماینده؛ O10 توسعه روابط با مشتریان</t>
  </si>
  <si>
    <t xml:space="preserve">C3-K1</t>
  </si>
  <si>
    <t xml:space="preserve">ارتقای «رضایت مشتریان از خدمات پس از فروش امتیاز کل(سایپا)»</t>
  </si>
  <si>
    <t xml:space="preserve">I11</t>
  </si>
  <si>
    <t xml:space="preserve">C3-K2</t>
  </si>
  <si>
    <t xml:space="preserve">کاهش «نرخ برگشت مشتری به شبکه - نمایندگی ها و تعمیرگاه مرکزی (2 ماه یا 3000 کیلومتر)»</t>
  </si>
  <si>
    <t xml:space="preserve">I15</t>
  </si>
  <si>
    <t xml:space="preserve">PPM</t>
  </si>
  <si>
    <t xml:space="preserve">C3-K3</t>
  </si>
  <si>
    <t xml:space="preserve">کاهش «نرخ شکایت از خدمات پس از فروش»</t>
  </si>
  <si>
    <t xml:space="preserve">I18</t>
  </si>
  <si>
    <t xml:space="preserve">پیشنهادی: ۵٪ بهبود نسبت به وضع موجود</t>
  </si>
  <si>
    <t xml:space="preserve">اختلاف زیاد واقعی ۱۴۰۴ با عملکرد ۱۴۰۵ — صحت داده بررسی شود</t>
  </si>
  <si>
    <t xml:space="preserve">C3-K4</t>
  </si>
  <si>
    <t xml:space="preserve">کاهش «متوسط زمان رسیدگی به شکایات مشتریان»</t>
  </si>
  <si>
    <t xml:space="preserve">I19</t>
  </si>
  <si>
    <t xml:space="preserve">C3-K5</t>
  </si>
  <si>
    <t xml:space="preserve">کاهش «متوسط زمان پذیرش تا ترخیص خودرو در شبکه (نمایندگی ها و تعمیرگاه مرکزی)»</t>
  </si>
  <si>
    <t xml:space="preserve">I17</t>
  </si>
  <si>
    <t xml:space="preserve">C3-K6</t>
  </si>
  <si>
    <t xml:space="preserve">ارتقای «رضایت نمایندگی ها از شرکت (DSI)»</t>
  </si>
  <si>
    <t xml:space="preserve">I14</t>
  </si>
  <si>
    <t xml:space="preserve">هدف ثبت‌شده ۱۴۰۴ (مبنا اندازه‌گیری نشده)</t>
  </si>
  <si>
    <t xml:space="preserve">C4</t>
  </si>
  <si>
    <t xml:space="preserve">هدف: زنجیره تأمین چابک و مدیریت بهینه موجودی قطعات</t>
  </si>
  <si>
    <t xml:space="preserve">OKR معاونتی پشتیبان: D5-1، D6-1، D6-2</t>
  </si>
  <si>
    <t xml:space="preserve">در دسترس‌بودن قطعه در زمان نیاز مشتری و در عین حال کنترل سرمایه‌ی راکد، دو مأموریت هم‌زمان زنجیره تأمین است.</t>
  </si>
  <si>
    <t xml:space="preserve">O7 مدیریت بهینه موجودی قطعات؛ O3 تنوع قطعات و خدمات</t>
  </si>
  <si>
    <t xml:space="preserve">C4-K1</t>
  </si>
  <si>
    <t xml:space="preserve">ارتقای «تامین قطعات یدکی برند یک طبق MRP -کل»</t>
  </si>
  <si>
    <t xml:space="preserve">I4</t>
  </si>
  <si>
    <t xml:space="preserve">C4-K2</t>
  </si>
  <si>
    <t xml:space="preserve">ارتقای «تحقق به موقع درخواستهای نقطه سفارش شبکه - تعدادی»</t>
  </si>
  <si>
    <t xml:space="preserve">I20</t>
  </si>
  <si>
    <t xml:space="preserve">C4-K3</t>
  </si>
  <si>
    <t xml:space="preserve">افزایش «نرخ گردش موجودی شرکت»</t>
  </si>
  <si>
    <t xml:space="preserve">C-06-00</t>
  </si>
  <si>
    <t xml:space="preserve">دفعه</t>
  </si>
  <si>
    <t xml:space="preserve">C4-K4</t>
  </si>
  <si>
    <t xml:space="preserve">کاهش «نسبت ریالی قطعات تجاری با سن بالای 6 ماه به کل قطعات تجاری»</t>
  </si>
  <si>
    <t xml:space="preserve">C-06-03</t>
  </si>
  <si>
    <t xml:space="preserve">پیشنهادی: نیمه‌راه تا هدف ۱۴۰۴</t>
  </si>
  <si>
    <t xml:space="preserve">C4-K5</t>
  </si>
  <si>
    <t xml:space="preserve">C-08-04</t>
  </si>
  <si>
    <t xml:space="preserve">C5</t>
  </si>
  <si>
    <t xml:space="preserve">هدف: سرمایه انسانی توانمند، دانش‌محور و پایداری عملیاتی</t>
  </si>
  <si>
    <t xml:space="preserve">OKR معاونتی پشتیبان: D2-3، D3-3، D4-3، D8-1، D8-2، D8-3، D9-1، D9-2، D9-3</t>
  </si>
  <si>
    <t xml:space="preserve">اثربخشی نیروی انسانی، یکپارچگی دانش مشتری و مدیریت مصرف انرژی/زیست‌محیطی زیربنای اجرای راهبرد هستند.</t>
  </si>
  <si>
    <t xml:space="preserve">O11 توسعه رویکرد شایستگی مشاغل، جانشین پروری و شایسته گزینی؛ O12 توسعه فرهنگ بهبود مستمر؛ O13 پایگاه داده مشتریان و مدیریت دانش؛ O14 انتقال دانش به ذینفعان اصلی؛ O15 ارتقای رضایت و نگهداشت کارکنان؛ O16 رعایت الزامات زیست محیطی؛ O17 مدیریت بهینه مصرف انرژی و ملزومات و مواد مصرفی</t>
  </si>
  <si>
    <t xml:space="preserve">C5-K1</t>
  </si>
  <si>
    <t xml:space="preserve">ارتقای «میزان رضایت شغلی کارکنان (میزان سنجش روحیه و رضایتمندی و دلبستگی کارکنان)»</t>
  </si>
  <si>
    <t xml:space="preserve">I21</t>
  </si>
  <si>
    <t xml:space="preserve">امتیاز</t>
  </si>
  <si>
    <t xml:space="preserve">C5-K2</t>
  </si>
  <si>
    <t xml:space="preserve">ارتقای «اثربخشی کل نیروی انسانی (OHE)»</t>
  </si>
  <si>
    <t xml:space="preserve">I22</t>
  </si>
  <si>
    <t xml:space="preserve">میلیارد ریال به نفر</t>
  </si>
  <si>
    <t xml:space="preserve">C5-K3</t>
  </si>
  <si>
    <t xml:space="preserve">کاهش «هزینه های پشتیبانی (آب، برق، تلفن، ملزومات اداری و مصرفی)»</t>
  </si>
  <si>
    <t xml:space="preserve">I24</t>
  </si>
  <si>
    <t xml:space="preserve">پیشنهادی: ۵٪ کاهش نسبت به واقعی ۱۴۰۴</t>
  </si>
  <si>
    <t xml:space="preserve">C5-K4</t>
  </si>
  <si>
    <t xml:space="preserve">کاهش «هزینه های عملیاتی (حمل، بسته بندی)»</t>
  </si>
  <si>
    <t xml:space="preserve">I25</t>
  </si>
  <si>
    <t xml:space="preserve">C5-K5</t>
  </si>
  <si>
    <t xml:space="preserve">تکمیل ۱۰۰٪ نقاط‌عطف پایگاه داده یکپارچه مشتریان (CRM) میان کسب‌وکارها تا پایان سال (هدف O13)</t>
  </si>
  <si>
    <t xml:space="preserve">C5-K6</t>
  </si>
  <si>
    <t xml:space="preserve">برگزاری حداقل ۴ جلسه‌ی انتقال دانش به ذی‌نفعان اصلی (شبکه/دانشگاه) (هدف O14)</t>
  </si>
  <si>
    <t xml:space="preserve">OKR سطح معاونت — ۱۴۰۵</t>
  </si>
  <si>
    <t xml:space="preserve">برای هر معاونت ۳ هدف؛ KRها نتایج تجمیعی مدیریت‌های زیرمجموعه هستند</t>
  </si>
  <si>
    <t xml:space="preserve">مدیریت‌های مستقل  —  مدیریت‌های زیرمجموعه (6): مدیریت ارتباطات، مدیریت امور حقوقی و قراردادها، مدیریت امور مشتریان، مدیریت بازرسی، مدیریت حراست، مدیریت حسابرسی داخلی</t>
  </si>
  <si>
    <t xml:space="preserve">D1-1</t>
  </si>
  <si>
    <t xml:space="preserve">مدیریت‌های مستقل</t>
  </si>
  <si>
    <t xml:space="preserve">هدف: تقویت اعتبار برند «سایپا یدک» و صدای ذی‌نفعان</t>
  </si>
  <si>
    <t xml:space="preserve">C3 — تجربه متمایز مشتری و کیفیت خدمات پس از فروش</t>
  </si>
  <si>
    <t xml:space="preserve">OKR مدیریتی پشتیبان: M01-1، M01-2، M01-3، M01-4</t>
  </si>
  <si>
    <t xml:space="preserve">D1-1-K1</t>
  </si>
  <si>
    <t xml:space="preserve">ارتقای «میزان مشارکت ذینفعان در نظرسنجی‌ها»</t>
  </si>
  <si>
    <t xml:space="preserve">CM-03-05</t>
  </si>
  <si>
    <t xml:space="preserve">D1-1-K2</t>
  </si>
  <si>
    <t xml:space="preserve">افزایش «تولید محتوا برای کانال‌های ارتباطی و درج در رسانه‌ها - کمی»</t>
  </si>
  <si>
    <t xml:space="preserve">CM-03-07</t>
  </si>
  <si>
    <t xml:space="preserve">D1-1-K3</t>
  </si>
  <si>
    <t xml:space="preserve">افزایش «میزان فعالیت‌های سازمان در حوزه مسوولیت‌های اجتماعی (CSR)»</t>
  </si>
  <si>
    <t xml:space="preserve">CM-03-06</t>
  </si>
  <si>
    <t xml:space="preserve">D1-2</t>
  </si>
  <si>
    <t xml:space="preserve">هدف: رسیدگی سریع و اثربخش به شکایات و کاهش زمان خواب خودرو</t>
  </si>
  <si>
    <t xml:space="preserve">OKR مدیریتی پشتیبان: M03-1، M03-2، M03-3، M03-4، M04-3</t>
  </si>
  <si>
    <t xml:space="preserve">D1-2-K1</t>
  </si>
  <si>
    <t xml:space="preserve">CRM-03-12</t>
  </si>
  <si>
    <t xml:space="preserve">D1-2-K2</t>
  </si>
  <si>
    <t xml:space="preserve">ارتقای «نسبت شکایات مختومه شده زیر 20 روز به کل شکایات»</t>
  </si>
  <si>
    <t xml:space="preserve">CRM-31-00</t>
  </si>
  <si>
    <t xml:space="preserve">D1-2-K3</t>
  </si>
  <si>
    <t xml:space="preserve">کاهش «متوسط زمان خواب خودرو در شبکه»</t>
  </si>
  <si>
    <t xml:space="preserve">CRM-16-00</t>
  </si>
  <si>
    <t xml:space="preserve">D1-2-K4</t>
  </si>
  <si>
    <t xml:space="preserve">CRM-04-00</t>
  </si>
  <si>
    <t xml:space="preserve">D1-3</t>
  </si>
  <si>
    <t xml:space="preserve">هدف: صیانت حقوقی، نظارتی و امنیتی از دارایی‌ها و شبکه</t>
  </si>
  <si>
    <t xml:space="preserve">C2 — سودآوری و سلامت مالی پایدار شرکت</t>
  </si>
  <si>
    <t xml:space="preserve">OKR مدیریتی پشتیبان: M02-1، M02-2، M02-3، M02-4، M04-1، M04-2، M05-1، M05-2، M05-3، M06-1، M06-2، M06-3، M06-4</t>
  </si>
  <si>
    <t xml:space="preserve">D1-3-K1</t>
  </si>
  <si>
    <t xml:space="preserve">کاهش «متوسط زمان انعقاد قراردادهای بازرگانی»</t>
  </si>
  <si>
    <t xml:space="preserve">SP-54-00</t>
  </si>
  <si>
    <t xml:space="preserve">D1-3-K2</t>
  </si>
  <si>
    <t xml:space="preserve">ارتقای «نسبت وصول مطالبات حقوقی شده به کل مطالبات حقوقی سازمان»</t>
  </si>
  <si>
    <t xml:space="preserve">SP-57-01</t>
  </si>
  <si>
    <t xml:space="preserve">D1-3-K3</t>
  </si>
  <si>
    <t xml:space="preserve">اجرای ۱۰۰٪ برنامه‌ی سالانه بازرسی، حسابرسی داخلی و ممیزی حراستی مصوب</t>
  </si>
  <si>
    <t xml:space="preserve">معاونت مهندسی و کیفیت  —  مدیریت‌های زیرمجموعه (2): مدیریت مهندسی، مدیریت کیفیت</t>
  </si>
  <si>
    <t xml:space="preserve">D2-1</t>
  </si>
  <si>
    <t xml:space="preserve">معاونت مهندسی و کیفیت</t>
  </si>
  <si>
    <t xml:space="preserve">هدف: کاهش برگشت مشتری و ارتقای کیفیت قطعات و خدمات</t>
  </si>
  <si>
    <t xml:space="preserve">OKR مدیریتی پشتیبان: M08-1، M08-2</t>
  </si>
  <si>
    <t xml:space="preserve">D2-1-K1</t>
  </si>
  <si>
    <t xml:space="preserve">S-07-00</t>
  </si>
  <si>
    <t xml:space="preserve">D2-1-K2</t>
  </si>
  <si>
    <t xml:space="preserve">کاهش «نرخ برگشت از فروش قطعات به علت کیفیت قطعات»</t>
  </si>
  <si>
    <t xml:space="preserve">S-07-05</t>
  </si>
  <si>
    <t xml:space="preserve">D2-1-K3</t>
  </si>
  <si>
    <t xml:space="preserve">کاهش «نرخ برگشت قطعات نصب دوم در نمایندگی ها»</t>
  </si>
  <si>
    <t xml:space="preserve">S-07-07</t>
  </si>
  <si>
    <t xml:space="preserve">هدف ثبت‌شده ۱۴۰۵ (مبنا اندازه‌گیری نشده)</t>
  </si>
  <si>
    <t xml:space="preserve">D2-2</t>
  </si>
  <si>
    <t xml:space="preserve">هدف: داده‌ی فنی دقیق و به‌روز برای شبکه (سریال، TM، مدارک فنی)</t>
  </si>
  <si>
    <t xml:space="preserve">OKR مدیریتی پشتیبان: M07-1، M07-2، M07-3</t>
  </si>
  <si>
    <t xml:space="preserve">D2-2-K1</t>
  </si>
  <si>
    <t xml:space="preserve">کاهش «نسبت درخواستهای عدم شناسایی سریال قطعه به کل پذیرش شبکه»</t>
  </si>
  <si>
    <t xml:space="preserve">NS-01-00</t>
  </si>
  <si>
    <t xml:space="preserve">D2-2-K2</t>
  </si>
  <si>
    <t xml:space="preserve">کاهش «نسبت درخواستهای عدم شناسایی TM به کل پذیرش شبکه»</t>
  </si>
  <si>
    <t xml:space="preserve">NS-01-01</t>
  </si>
  <si>
    <t xml:space="preserve">D2-2-K3</t>
  </si>
  <si>
    <t xml:space="preserve">ارتقای «درصد پروژه های تحقق محصول گروه»</t>
  </si>
  <si>
    <t xml:space="preserve">S-26-00</t>
  </si>
  <si>
    <t xml:space="preserve">D2-3</t>
  </si>
  <si>
    <t xml:space="preserve">هدف: ارتقای مهارت و کنترل هزینه‌های کیفی شبکه</t>
  </si>
  <si>
    <t xml:space="preserve">C5 — سرمایه انسانی توانمند، دانش‌محور و پایداری عملیاتی</t>
  </si>
  <si>
    <t xml:space="preserve">OKR مدیریتی پشتیبان: M08-3</t>
  </si>
  <si>
    <t xml:space="preserve">D2-3-K1</t>
  </si>
  <si>
    <t xml:space="preserve">ارتقای «امتیاز مهارت سنجی نیروی انسانی شبکه»</t>
  </si>
  <si>
    <t xml:space="preserve">SM-10-00</t>
  </si>
  <si>
    <t xml:space="preserve">D2-3-K2</t>
  </si>
  <si>
    <t xml:space="preserve">اجرای ۱۰۰٪ آزمون‌های ادواری مهارت‌سنجی برنامه‌ریزی‌شده</t>
  </si>
  <si>
    <t xml:space="preserve">معاونت خدمات پس از فروش  —  مدیریت‌های زیرمجموعه (4): مدیریت آموزش شبکه، مدیریت تعمیرگاه های مرکزی، مدیریت توسعه و بهبود شبکه، مدیریت فنی و گارانتی</t>
  </si>
  <si>
    <t xml:space="preserve">D3-1</t>
  </si>
  <si>
    <t xml:space="preserve">معاونت خدمات پس از فروش</t>
  </si>
  <si>
    <t xml:space="preserve">هدف: رشد درآمد و سودآوری تعمیرگاه‌های مرکزی و خدمات گارانتی</t>
  </si>
  <si>
    <t xml:space="preserve">C1 — رشد سهم بازار و درآمد قطعات و خدمات پس از فروش</t>
  </si>
  <si>
    <t xml:space="preserve">OKR مدیریتی پشتیبان: M10-1، M10-2</t>
  </si>
  <si>
    <t xml:space="preserve">D3-1-K1</t>
  </si>
  <si>
    <t xml:space="preserve">S-143-00</t>
  </si>
  <si>
    <t xml:space="preserve">D3-1-K2</t>
  </si>
  <si>
    <t xml:space="preserve">افزایش «درآمد حاصل از اجرت گارانتی در تعمیرگاه های مرکزی»</t>
  </si>
  <si>
    <t xml:space="preserve">S-143-01</t>
  </si>
  <si>
    <t xml:space="preserve">D3-1-K3</t>
  </si>
  <si>
    <t xml:space="preserve">افزایش «درآمد حاصل از فروش قطعات خدماتی در تعمیرگاه های مرکزی»</t>
  </si>
  <si>
    <t xml:space="preserve">S-143-06</t>
  </si>
  <si>
    <t xml:space="preserve">D3-1-K4</t>
  </si>
  <si>
    <t xml:space="preserve">افزایش «سود (زیان) ناخالص تعمیرگاههای مرکزی»</t>
  </si>
  <si>
    <t xml:space="preserve">SP-210-01</t>
  </si>
  <si>
    <t xml:space="preserve">میلیون ریال</t>
  </si>
  <si>
    <t xml:space="preserve">D3-2</t>
  </si>
  <si>
    <t xml:space="preserve">هدف: ارتقای رضایت مشتری و سرعت خدمت‌دهی در شبکه</t>
  </si>
  <si>
    <t xml:space="preserve">OKR مدیریتی پشتیبان: M10-3، M11-2، M12-1، M12-2</t>
  </si>
  <si>
    <t xml:space="preserve">D3-2-K1</t>
  </si>
  <si>
    <t xml:space="preserve">CRM-21-01</t>
  </si>
  <si>
    <t xml:space="preserve">D3-2-K2</t>
  </si>
  <si>
    <t xml:space="preserve">کاهش «متوسط زمان پذیرش تا ترخیص خودرو در نمایندگی ها»</t>
  </si>
  <si>
    <t xml:space="preserve">N-115-00</t>
  </si>
  <si>
    <t xml:space="preserve">D3-2-K3</t>
  </si>
  <si>
    <t xml:space="preserve">کاهش «متوسط زمان پذیرش تا ترخیص خودرو درتعمیرگاه های مرکزی»</t>
  </si>
  <si>
    <t xml:space="preserve">S-17-01</t>
  </si>
  <si>
    <t xml:space="preserve">D3-2-K4</t>
  </si>
  <si>
    <t xml:space="preserve">کاهش «نرخ برگشت مشتری به تعمیرگاه های مرکزی (2 ماه یا 3000 کیلومتر)»</t>
  </si>
  <si>
    <t xml:space="preserve">S-07-01</t>
  </si>
  <si>
    <t xml:space="preserve">D3-3</t>
  </si>
  <si>
    <t xml:space="preserve">هدف: توسعه کیفیت و سرمایه انسانی شبکه نمایندگی (DSI، آموزش، سبز)</t>
  </si>
  <si>
    <t xml:space="preserve">OKR مدیریتی پشتیبان: M09-1، M09-2، M09-3، M11-1، M11-3، M12-3</t>
  </si>
  <si>
    <t xml:space="preserve">D3-3-K1</t>
  </si>
  <si>
    <t xml:space="preserve">N-02-00</t>
  </si>
  <si>
    <t xml:space="preserve">D3-3-K2</t>
  </si>
  <si>
    <t xml:space="preserve">ارتقای «اثربخشی آموزش ارائه شده به شبکه (در سطح نتایج)»</t>
  </si>
  <si>
    <t xml:space="preserve">N-36-00</t>
  </si>
  <si>
    <t xml:space="preserve">D3-3-K3</t>
  </si>
  <si>
    <t xml:space="preserve">ارتقای «درصد حضور پرسنل نمایندگی ها در آموزش های ثبت نام شده»</t>
  </si>
  <si>
    <t xml:space="preserve">N-36-01</t>
  </si>
  <si>
    <t xml:space="preserve">D3-3-K4</t>
  </si>
  <si>
    <t xml:space="preserve">افزایش «تعداد نمایندگی های منتخب سبز»</t>
  </si>
  <si>
    <t xml:space="preserve">F-01-00</t>
  </si>
  <si>
    <t xml:space="preserve">معاونت توسعه کسب‌وکار و بازار  —  مدیریت‌های زیرمجموعه (4): مدیریت آپشن، مدیریت بازاریابی، مدیریت بازرگانی خدمات، مدیریت توسعه روشهای فروش نوین و آنلاین</t>
  </si>
  <si>
    <t xml:space="preserve">D4-1</t>
  </si>
  <si>
    <t xml:space="preserve">معاونت توسعه کسب‌وکار و بازار</t>
  </si>
  <si>
    <t xml:space="preserve">هدف: افزایش سهم بازار و درآمد از عاملیت‌ها، آپشن و بسته‌های خدمت</t>
  </si>
  <si>
    <t xml:space="preserve">OKR مدیریتی پشتیبان: M13-1، M14-1، M14-2، M14-3، M15-1، M15-2</t>
  </si>
  <si>
    <t xml:space="preserve">D4-1-K1</t>
  </si>
  <si>
    <t xml:space="preserve">D4-1-K2</t>
  </si>
  <si>
    <t xml:space="preserve">S-40-00</t>
  </si>
  <si>
    <t xml:space="preserve">D4-1-K3</t>
  </si>
  <si>
    <t xml:space="preserve">افزایش «فروش خالص ریالی قطعات آپشن»</t>
  </si>
  <si>
    <t xml:space="preserve">P-31-00</t>
  </si>
  <si>
    <t xml:space="preserve">D4-1-K4</t>
  </si>
  <si>
    <t xml:space="preserve">افزایش «توسعه عاملیت های فروش قطعات (فعال شده)»</t>
  </si>
  <si>
    <t xml:space="preserve">C-260-00</t>
  </si>
  <si>
    <t xml:space="preserve">D4-2</t>
  </si>
  <si>
    <t xml:space="preserve">هدف: ارتقای سودآوری و رضایت در بسته خدمت و آپشن</t>
  </si>
  <si>
    <t xml:space="preserve">OKR مدیریتی پشتیبان: M13-2، M13-3، M13-4، M15-3</t>
  </si>
  <si>
    <t xml:space="preserve">D4-2-K1</t>
  </si>
  <si>
    <t xml:space="preserve">ارتقای «حاشیه سود ناخالص قطعات یدکی»</t>
  </si>
  <si>
    <t xml:space="preserve">SP-27-00</t>
  </si>
  <si>
    <t xml:space="preserve">D4-2-K2</t>
  </si>
  <si>
    <t xml:space="preserve">ارتقای «حاشیه سود ناخالص بسته خدمت»</t>
  </si>
  <si>
    <t xml:space="preserve">SP-214-00</t>
  </si>
  <si>
    <t xml:space="preserve">D4-2-K3</t>
  </si>
  <si>
    <t xml:space="preserve">ارتقای «رضایت مشتریان از خدمات آپشن»</t>
  </si>
  <si>
    <t xml:space="preserve">P-214-00</t>
  </si>
  <si>
    <t xml:space="preserve">D4-2-K4</t>
  </si>
  <si>
    <t xml:space="preserve">ارتقای «تمدید بسته خدمت (کارکرده)»</t>
  </si>
  <si>
    <t xml:space="preserve">S-68-01</t>
  </si>
  <si>
    <t xml:space="preserve">D4-3</t>
  </si>
  <si>
    <t xml:space="preserve">هدف: شکل‌گیری کسب‌وکار فروش آنلاین و واسطه‌گری</t>
  </si>
  <si>
    <t xml:space="preserve">OKR مدیریتی پشتیبان: M16-1، M16-2، M16-3، M16-4</t>
  </si>
  <si>
    <t xml:space="preserve">D4-3-K1</t>
  </si>
  <si>
    <t xml:space="preserve">افزایش «تعداد فروشندگان، تامین کنندگان و توزیع کنندگان جذب شده در سیستم فروش واسطه گری»</t>
  </si>
  <si>
    <t xml:space="preserve">C-01-40</t>
  </si>
  <si>
    <t xml:space="preserve">D4-3-K2</t>
  </si>
  <si>
    <t xml:space="preserve">افزایش «تنوع اقلام قابل ارائه شده در پلتفرم فروش واسطه گری»</t>
  </si>
  <si>
    <t xml:space="preserve">C-01-60</t>
  </si>
  <si>
    <t xml:space="preserve">D4-3-K3</t>
  </si>
  <si>
    <t xml:space="preserve">افزایش «تعداد خریداران بصورت منقرد در فروش واسطه گری»</t>
  </si>
  <si>
    <t xml:space="preserve">C-01-61</t>
  </si>
  <si>
    <t xml:space="preserve">معاونت بازرگانی قطعات  —  مدیریت‌های زیرمجموعه (6): مدیریت بازرگانی بدنه و ملزومات بسته‌بندی، مدیریت بازرگانی تزئینات و تعلیق، مدیریت بازرگانی خارجی، مدیریت بازرگانی قوای محرکه غیرگروه، مدیریت بازرگانی قوای محرکه گروه و روانکار، مدیریت پشتیبانی قطعات خدماتی</t>
  </si>
  <si>
    <t xml:space="preserve">D5-1</t>
  </si>
  <si>
    <t xml:space="preserve">معاونت بازرگانی قطعات</t>
  </si>
  <si>
    <t xml:space="preserve">هدف: تأمین به‌موقع و مطمئن قطعات داخلی و خارجی طبق MRP</t>
  </si>
  <si>
    <t xml:space="preserve">C4 — زنجیره تأمین چابک و مدیریت بهینه موجودی قطعات</t>
  </si>
  <si>
    <t xml:space="preserve">OKR مدیریتی پشتیبان: M17-1، M18-1، M19-1، M19-3، M20-1، M21-1، M22-1، M22-2، M22-3</t>
  </si>
  <si>
    <t xml:space="preserve">D5-1-K1</t>
  </si>
  <si>
    <t xml:space="preserve">ارتقای «تأمین به موقع قطعات یدکی برند یک طبق MRP - خارج»</t>
  </si>
  <si>
    <t xml:space="preserve">C-261-12</t>
  </si>
  <si>
    <t xml:space="preserve">D5-1-K2</t>
  </si>
  <si>
    <t xml:space="preserve">ارتقای «تامین درخواستهای VOR - تعدادی»</t>
  </si>
  <si>
    <t xml:space="preserve">C-261-06</t>
  </si>
  <si>
    <t xml:space="preserve">D5-1-K3</t>
  </si>
  <si>
    <t xml:space="preserve">ارتقای «سرویس ریت قطعات شبکه (نمایندگی ها و تعمیرگاه مرکزی)»</t>
  </si>
  <si>
    <t xml:space="preserve">C-06-09</t>
  </si>
  <si>
    <t xml:space="preserve">D5-2</t>
  </si>
  <si>
    <t xml:space="preserve">هدف: افزایش فروش و سودآوری قطعات بازرگانی</t>
  </si>
  <si>
    <t xml:space="preserve">OKR مدیریتی پشتیبان: M17-2، M17-3، M18-2، M18-3، M20-2، M20-3، M21-2، M21-3</t>
  </si>
  <si>
    <t xml:space="preserve">D5-2-K1</t>
  </si>
  <si>
    <t xml:space="preserve">D5-2-K2</t>
  </si>
  <si>
    <t xml:space="preserve">D5-2-K3</t>
  </si>
  <si>
    <t xml:space="preserve">تحقق ۱۰۰٪ برنامه‌ی کشف قیمت و قیمت‌گذاری پویا برای گروه‌های کالایی بازرگانی</t>
  </si>
  <si>
    <t xml:space="preserve">D5-3</t>
  </si>
  <si>
    <t xml:space="preserve">هدف: توسعه صادرات و تنوع منابع تأمین</t>
  </si>
  <si>
    <t xml:space="preserve">OKR مدیریتی پشتیبان: M19-2</t>
  </si>
  <si>
    <t xml:space="preserve">D5-3-K1</t>
  </si>
  <si>
    <t xml:space="preserve">افزایش «میزان صادرات»</t>
  </si>
  <si>
    <t xml:space="preserve">E-01-02</t>
  </si>
  <si>
    <t xml:space="preserve">هزار دلار</t>
  </si>
  <si>
    <t xml:space="preserve">D5-3-K2</t>
  </si>
  <si>
    <t xml:space="preserve">افزایش «حجم فروش قطعات یدکی صادراتی (فاکتور شده)»</t>
  </si>
  <si>
    <t xml:space="preserve">E-01-04</t>
  </si>
  <si>
    <t xml:space="preserve">D5-3-K3</t>
  </si>
  <si>
    <t xml:space="preserve">افزایش «میزان ریالی تامین قطعات یدکی بازرگانی برند یک (تامین خارج)»</t>
  </si>
  <si>
    <t xml:space="preserve">C-257-03</t>
  </si>
  <si>
    <t xml:space="preserve">پیشنهادی: بیشینهٔ «۱۰٪ رشد نسبت به واقعی ۱۴۰۴»، «هدف تجمعی ثبت‌شده ۱۴۰۵ × ۲» و «روند عملکرد ۱۴۰۵ × ۲» (فرض: داده‌ها ۶ماهه) | سقف ۲ برابر مبنا اعمال شد (محاسبه‌ی خام: 10390)</t>
  </si>
  <si>
    <t xml:space="preserve">معاونت برنامه‌ریزی و لجستیک  —  مدیریت‌های زیرمجموعه (3): مدیریت انبار مرکزی و توزیع، مدیریت برنامه ریزی جامع، مدیریت لجستیک و اقلام نامنطبق</t>
  </si>
  <si>
    <t xml:space="preserve">D6-1</t>
  </si>
  <si>
    <t xml:space="preserve">معاونت برنامه‌ریزی و لجستیک</t>
  </si>
  <si>
    <t xml:space="preserve">هدف: بهینه‌سازی موجودی و گردش قطعات</t>
  </si>
  <si>
    <t xml:space="preserve">OKR مدیریتی پشتیبان: M23-3، M24-1، M24-2، M24-3</t>
  </si>
  <si>
    <t xml:space="preserve">D6-1-K1</t>
  </si>
  <si>
    <t xml:space="preserve">D6-1-K2</t>
  </si>
  <si>
    <t xml:space="preserve">D6-1-K3</t>
  </si>
  <si>
    <t xml:space="preserve">ارتقای «ابلاغ به موقع MRP (دهم هر ماه برای ماه آتی)»</t>
  </si>
  <si>
    <t xml:space="preserve">E-02-00</t>
  </si>
  <si>
    <t xml:space="preserve">حفظ سطح فعلی (سقف ۱۰۰٪)</t>
  </si>
  <si>
    <t xml:space="preserve">D6-2</t>
  </si>
  <si>
    <t xml:space="preserve">هدف: ارسال سریع و دقیق قطعات به شبکه با هزینه‌ی کنترل‌شده</t>
  </si>
  <si>
    <t xml:space="preserve">OKR مدیریتی پشتیبان: M23-1، M23-2</t>
  </si>
  <si>
    <t xml:space="preserve">D6-2-K1</t>
  </si>
  <si>
    <t xml:space="preserve">کاهش «متوسط زمان لود به ظرف انبار تا رسیدن کالا به نمایندگیها (رسید سیستمی)- ارسال عادی»</t>
  </si>
  <si>
    <t xml:space="preserve">C-28-00</t>
  </si>
  <si>
    <t xml:space="preserve">D6-2-K2</t>
  </si>
  <si>
    <t xml:space="preserve">کاهش «متوسط زمان لود به ظرف انبار تا رسیدن کالا به نمایندگیها (رسید سیستمی)- ارسال سریع»</t>
  </si>
  <si>
    <t xml:space="preserve">C-11-00</t>
  </si>
  <si>
    <t xml:space="preserve">D6-2-K3</t>
  </si>
  <si>
    <t xml:space="preserve">کاهش «ماکزیموم زمان بسته بندی قطعات در سایت پیمانکار»</t>
  </si>
  <si>
    <t xml:space="preserve">MT-01-00</t>
  </si>
  <si>
    <t xml:space="preserve">D6-2-K4</t>
  </si>
  <si>
    <t xml:space="preserve">کاهش «نسبت هزینه ارسال قطعات به فروش قطعات (به غیر از ارسال سریع)»</t>
  </si>
  <si>
    <t xml:space="preserve">C-01-22</t>
  </si>
  <si>
    <t xml:space="preserve">D6-3</t>
  </si>
  <si>
    <t xml:space="preserve">هدف: بازیافت ارزش اقلام نامنطبق و کنترل هزینه‌های لجستیک</t>
  </si>
  <si>
    <t xml:space="preserve">OKR مدیریتی پشتیبان: M25-1، M25-2، M25-3</t>
  </si>
  <si>
    <t xml:space="preserve">D6-3-K1</t>
  </si>
  <si>
    <t xml:space="preserve">افزایش «درآمد حاصل از فروش اقلام نامنطبق (به غیر از خودرو)»</t>
  </si>
  <si>
    <t xml:space="preserve">SP-70-01</t>
  </si>
  <si>
    <t xml:space="preserve">D6-3-K2</t>
  </si>
  <si>
    <t xml:space="preserve">کاهش هزینه های حمل بین انبارها</t>
  </si>
  <si>
    <t xml:space="preserve">SP-70-00</t>
  </si>
  <si>
    <t xml:space="preserve">معاونت مالی و اقتصادی  —  مدیریت‌های زیرمجموعه (3): مدیریت اقتصادی، مدیریت حسابداری بازرگانی و خدمات پس از فروش، مدیریت حسابداری مالی</t>
  </si>
  <si>
    <t xml:space="preserve">D7-1</t>
  </si>
  <si>
    <t xml:space="preserve">معاونت مالی و اقتصادی</t>
  </si>
  <si>
    <t xml:space="preserve">هدف: پایداری سودآوری و تحقق بودجه</t>
  </si>
  <si>
    <t xml:space="preserve">OKR مدیریتی پشتیبان: M26-1، M26-2</t>
  </si>
  <si>
    <t xml:space="preserve">D7-1-K1</t>
  </si>
  <si>
    <t xml:space="preserve">SP-210-00</t>
  </si>
  <si>
    <t xml:space="preserve">D7-1-K2</t>
  </si>
  <si>
    <t xml:space="preserve">D7-1-K3</t>
  </si>
  <si>
    <t xml:space="preserve">D7-2</t>
  </si>
  <si>
    <t xml:space="preserve">هدف: مدیریت نقدینگی، وصول مطالبات و تأمین مالی</t>
  </si>
  <si>
    <t xml:space="preserve">OKR مدیریتی پشتیبان: M27-2، M28-1، M28-2</t>
  </si>
  <si>
    <t xml:space="preserve">D7-2-K1</t>
  </si>
  <si>
    <t xml:space="preserve">D7-2-K2</t>
  </si>
  <si>
    <t xml:space="preserve">کاهش «میزان مطالبات معوق شبکه - غیرحقوقی»</t>
  </si>
  <si>
    <t xml:space="preserve">EF-01-02</t>
  </si>
  <si>
    <t xml:space="preserve">D7-2-K3</t>
  </si>
  <si>
    <t xml:space="preserve">D7-2-K4</t>
  </si>
  <si>
    <t xml:space="preserve">ارتقای «درصد تسویه به موقع مطالبات تامین کنندگان غیرگروه»</t>
  </si>
  <si>
    <t xml:space="preserve">EF-01-04</t>
  </si>
  <si>
    <t xml:space="preserve">D7-3</t>
  </si>
  <si>
    <t xml:space="preserve">هدف: گزارشگری مالی و مالیاتی دقیق و به‌موقع</t>
  </si>
  <si>
    <t xml:space="preserve">OKR مدیریتی پشتیبان: M26-3، M27-1، M27-3، M28-3، M28-4</t>
  </si>
  <si>
    <t xml:space="preserve">D7-3-K1</t>
  </si>
  <si>
    <t xml:space="preserve">ارتقای «درصد پرداخت به موقع مطالبات تامین کنندگان تامین خارج (شامل هزینه ترخیص، تخصیص ارز و...)- بجز تحقق محصول»</t>
  </si>
  <si>
    <t xml:space="preserve">SP-201-00</t>
  </si>
  <si>
    <t xml:space="preserve">واقعی ۱۴۰۴ بیش از ۱۰۰٪ ثبت شده (نادیده گرفته شد) — صحت داده بررسی شود</t>
  </si>
  <si>
    <t xml:space="preserve">D7-3-K2</t>
  </si>
  <si>
    <t xml:space="preserve">ارائه ۱۰۰٪ صورت‌های مالی/گزارش‌های مالیاتی قانونی در مهلت مقرر</t>
  </si>
  <si>
    <t xml:space="preserve">معاونت طرح و برنامه  —  مدیریت‌های زیرمجموعه (4): اداره مهندسی سیستم‌های اطلاعاتی، مدیریت برنامه ریزی و نظارت راهبردی، مدیریت تکنولوژی اطلاعات و توسعه فن آوری های نوین، مدیریت مهندسی فرآیندها و طراحی نرم افزار</t>
  </si>
  <si>
    <t xml:space="preserve">D8-1</t>
  </si>
  <si>
    <t xml:space="preserve">معاونت طرح و برنامه</t>
  </si>
  <si>
    <t xml:space="preserve">هدف: اجرای مؤثر برنامه راهبردی و نظام ارزیابی عملکرد</t>
  </si>
  <si>
    <t xml:space="preserve">OKR مدیریتی پشتیبان: M29-3، M30-1، M30-2، M30-3</t>
  </si>
  <si>
    <t xml:space="preserve">D8-1-K1</t>
  </si>
  <si>
    <t xml:space="preserve">ارتقای «میزان ارائه به موقع گزارشات کلان به سایپا»</t>
  </si>
  <si>
    <t xml:space="preserve">PP-01-05</t>
  </si>
  <si>
    <t xml:space="preserve">D8-1-K2</t>
  </si>
  <si>
    <t xml:space="preserve">کاهش «متوسط زمان انجام اقدام اصلاحی»</t>
  </si>
  <si>
    <t xml:space="preserve">HR-94-01</t>
  </si>
  <si>
    <t xml:space="preserve">D8-1-K3</t>
  </si>
  <si>
    <t xml:space="preserve">پایش ماهانه ۱۰۰٪ شاخص‌های کلان و ابتکارات استراتژیک در سامانه</t>
  </si>
  <si>
    <t xml:space="preserve">D8-2</t>
  </si>
  <si>
    <t xml:space="preserve">هدف: زیرساخت، امنیت و خدمات فناوری اطلاعات پایدار</t>
  </si>
  <si>
    <t xml:space="preserve">OKR مدیریتی پشتیبان: M29-1، M29-2، M31-1، M31-2، M31-3</t>
  </si>
  <si>
    <t xml:space="preserve">D8-2-K1</t>
  </si>
  <si>
    <t xml:space="preserve">ارتقای «میزان در دسترس بودن سرویس های ارتباطی»</t>
  </si>
  <si>
    <t xml:space="preserve">PP-01-02</t>
  </si>
  <si>
    <t xml:space="preserve">D8-2-K2</t>
  </si>
  <si>
    <t xml:space="preserve">کاهش «تعداد دریافت حملات سایبری موثر»</t>
  </si>
  <si>
    <t xml:space="preserve">PP-01-08</t>
  </si>
  <si>
    <t xml:space="preserve">هدف صفر (پیشنهادی)</t>
  </si>
  <si>
    <t xml:space="preserve">D8-2-K3</t>
  </si>
  <si>
    <t xml:space="preserve">ارتقای «رضایت کارکنان از خدمات سخت افزاری»</t>
  </si>
  <si>
    <t xml:space="preserve">P-10-00</t>
  </si>
  <si>
    <t xml:space="preserve">D8-2-K4</t>
  </si>
  <si>
    <t xml:space="preserve">ارتقای «رضایت کارکنان از خدمات نرم افزاری»</t>
  </si>
  <si>
    <t xml:space="preserve">p-11-00</t>
  </si>
  <si>
    <t xml:space="preserve">D8-3</t>
  </si>
  <si>
    <t xml:space="preserve">هدف: فرآیندهای مستند، یکپارچه و مکانیزه</t>
  </si>
  <si>
    <t xml:space="preserve">OKR مدیریتی پشتیبان: M32-1، M32-2، M32-3</t>
  </si>
  <si>
    <t xml:space="preserve">D8-3-K1</t>
  </si>
  <si>
    <t xml:space="preserve">ارتقای «میزان مستندات با عمر کمتر از 3 سال (آیین نامه، دستورالعمل، روش اجرایی، رویه، شناسنامه فرآیند)»</t>
  </si>
  <si>
    <t xml:space="preserve">PP-01-00</t>
  </si>
  <si>
    <t xml:space="preserve">D8-3-K2</t>
  </si>
  <si>
    <t xml:space="preserve">ارتقای «رضایت سازمان از حوزه تنظیم مدارک و مستندات»</t>
  </si>
  <si>
    <t xml:space="preserve">P-09-00</t>
  </si>
  <si>
    <t xml:space="preserve">D8-3-K3</t>
  </si>
  <si>
    <t xml:space="preserve">مکانیزه‌سازی و استقرار حداقل ۳ فرآیند اولویت‌دار تا پایان سال</t>
  </si>
  <si>
    <t xml:space="preserve">معاونت توسعه منابع انسانی و پشتیبانی  —  مدیریت‌های زیرمجموعه (2): مدیریت تدارکات و پشتیبانی، مدیریت منابع انسانی</t>
  </si>
  <si>
    <t xml:space="preserve">D9-1</t>
  </si>
  <si>
    <t xml:space="preserve">معاونت توسعه منابع انسانی و پشتیبانی</t>
  </si>
  <si>
    <t xml:space="preserve">هدف: ارتقای رضایت و اثربخشی سرمایه انسانی</t>
  </si>
  <si>
    <t xml:space="preserve">OKR مدیریتی پشتیبان: M34-1، M34-2</t>
  </si>
  <si>
    <t xml:space="preserve">D9-1-K1</t>
  </si>
  <si>
    <t xml:space="preserve">HR-01-00</t>
  </si>
  <si>
    <t xml:space="preserve">D9-1-K2</t>
  </si>
  <si>
    <t xml:space="preserve">HR-93-00</t>
  </si>
  <si>
    <t xml:space="preserve">D9-1-K3</t>
  </si>
  <si>
    <t xml:space="preserve">ارتقای «اثربخشی دوره های آموزشی کارکنان»</t>
  </si>
  <si>
    <t xml:space="preserve">HR-100-08</t>
  </si>
  <si>
    <t xml:space="preserve">D9-2</t>
  </si>
  <si>
    <t xml:space="preserve">هدف: خدمات پشتیبانی سریع و رضایت‌بخش</t>
  </si>
  <si>
    <t xml:space="preserve">OKR مدیریتی پشتیبان: M33-1، M33-2</t>
  </si>
  <si>
    <t xml:space="preserve">D9-2-K1</t>
  </si>
  <si>
    <t xml:space="preserve">ارتقای «رضایت پرسنل از امور مربوط به خدمات فنی و آبنیه»</t>
  </si>
  <si>
    <t xml:space="preserve">HR-79-00</t>
  </si>
  <si>
    <t xml:space="preserve">D9-2-K2</t>
  </si>
  <si>
    <t xml:space="preserve">ارتقای «رضایت پرسنل از عملکرد رستوران»</t>
  </si>
  <si>
    <t xml:space="preserve">HR-99-00</t>
  </si>
  <si>
    <t xml:space="preserve">D9-2-K3</t>
  </si>
  <si>
    <t xml:space="preserve">ارتقای «رضایت پرسنل از سرویس ایاب و ذهاب»</t>
  </si>
  <si>
    <t xml:space="preserve">HR-100-10</t>
  </si>
  <si>
    <t xml:space="preserve">D9-2-K4</t>
  </si>
  <si>
    <t xml:space="preserve">کاهش «متوسط زمان رسیدگی به درخواستهای خدمات فنی - کل»</t>
  </si>
  <si>
    <t xml:space="preserve">HR-78-01</t>
  </si>
  <si>
    <t xml:space="preserve">D9-3</t>
  </si>
  <si>
    <t xml:space="preserve">هدف: فرهنگ بهبود مستمر، ایمنی و پایداری</t>
  </si>
  <si>
    <t xml:space="preserve">OKR مدیریتی پشتیبان: M33-3، M34-3</t>
  </si>
  <si>
    <t xml:space="preserve">D9-3-K1</t>
  </si>
  <si>
    <t xml:space="preserve">ارتقای «نرخ مشارکت کارکنان»</t>
  </si>
  <si>
    <t xml:space="preserve">SN-01-01</t>
  </si>
  <si>
    <t xml:space="preserve">D9-3-K2</t>
  </si>
  <si>
    <t xml:space="preserve">ارتقای «میزان رضایت پرسنل از عملکرد ایمنی،سلامت و محیط زیست»</t>
  </si>
  <si>
    <t xml:space="preserve">HR-01-11</t>
  </si>
  <si>
    <t xml:space="preserve">D9-3-K3</t>
  </si>
  <si>
    <t xml:space="preserve">کاهش ضریب شدت تکرار حوادث به صفر (بدون حادثه‌ی منجر به غیبت)</t>
  </si>
  <si>
    <t xml:space="preserve">OKR سطح مدیریت — ۱۴۰۵</t>
  </si>
  <si>
    <t xml:space="preserve">هر مدیریت ۳ هدف؛ ستون P استراتژی‌های وظیفه‌ای و ستون Q اهداف نقشه‌ی استراتژیک مرتبط را نشان می‌دهد</t>
  </si>
  <si>
    <t xml:space="preserve">01. مدیریت ارتباطات   |   مدیریت‌های مستقل</t>
  </si>
  <si>
    <t xml:space="preserve">M01-1</t>
  </si>
  <si>
    <t xml:space="preserve">مدیریت ارتباطات</t>
  </si>
  <si>
    <t xml:space="preserve">هدف: تثبیت جایگاه رسانه‌ای و برند «سایپا یدک»</t>
  </si>
  <si>
    <t xml:space="preserve">D1-1 — تقویت اعتبار برند «سایپا یدک» و صدای ذی‌نفعان</t>
  </si>
  <si>
    <t xml:space="preserve">S1: تقویت انعکاس رسانه ای فعالیت ها و محصولات شرکت در رسانه های گروه و فضای مجازی
S6: توسعه برندینگ</t>
  </si>
  <si>
    <t xml:space="preserve">L5 توسعه فرهنگ بهبود مستمر (learning; کسب و کار بازرگانی قطعات)
P12 کانال‌های یکپارچه ارتباط و ارائه بسته خدمت (از شاخص KR)
P6 توسعه دانش تکمیل‌کنندگان از پلتفرم‌ها (از شاخص KR)
P7 آگاهی‌بخشی به مشتریان از قابلیت‌ها (از شاخص KR)</t>
  </si>
  <si>
    <t xml:space="preserve">M01-1-K1</t>
  </si>
  <si>
    <t xml:space="preserve">M01-1-K2</t>
  </si>
  <si>
    <t xml:space="preserve">اجرای ۱۰۰٪ برنامه‌ی برندینگ مصوب سال (هویت، پیام، محتوا)</t>
  </si>
  <si>
    <t xml:space="preserve">M01-2</t>
  </si>
  <si>
    <t xml:space="preserve">هدف: توسعه مسئولیت اجتماعی (CSR) و سرمایه اجتماعی نزد ذی‌نفعان</t>
  </si>
  <si>
    <t xml:space="preserve">S2: توسعه فعالیت های مسئولیت اجتماعی سازمان (CSR) و تقویت سرمایه اجتماعی نزد ذینفعان</t>
  </si>
  <si>
    <t xml:space="preserve">P14 توسعه سرمایه اجتماعی نزد تعمیرگاران (process; کسب و کار گارانتی خودرو)
P6 توسعه دانش درباره مشتری (از شاخص KR)
L4 توسعه فرهنگ مشتری‌مداری و بهبود مستمر برای آن (از شاخص KR)
P7 توسعه دانش درباره مشتری (از شاخص KR)
L7 توسعه فرهنگ مشتری‌مداری و روحیه پاسخگویی و بهبود مستمر (از شاخص KR)</t>
  </si>
  <si>
    <t xml:space="preserve">M01-2-K1</t>
  </si>
  <si>
    <t xml:space="preserve">M01-2-K2</t>
  </si>
  <si>
    <t xml:space="preserve">رضایت ذی‌نفعان از فعالیت‌های CSR حداقل ۸۰٪</t>
  </si>
  <si>
    <t xml:space="preserve">M01-3</t>
  </si>
  <si>
    <t xml:space="preserve">هدف: سنجش داده‌محور صدای ذی‌نفعان و تبادل دوسویه پیام با مخاطبان</t>
  </si>
  <si>
    <t xml:space="preserve">S3: سنجش مستمر رضایت و نظر ذینفعان (کارکنان، مشتریان، نمایندگی ها) و بازخورد به مدیریت ارشد
S5: استقرار ابزارهای داده محور برای تبادل دوسویه پیام با مخاطبان</t>
  </si>
  <si>
    <t xml:space="preserve">C5 رشد سریع مشتریان (customer; کسب و کار آپشن)
C6 وفادارسازی مشتریان (customer; کسب و کار آپشن)
L2 پایگاه داده مشتریان و مدیریت دانش (learning; کسب و کار بسته خدمت)
P11 پیش‌بینی نیازهای آینده مشتریان (process; کسب و کار بسته خدمت)
P6 توسعه دانش درباره مشتری (از شاخص KR)
P6 توسعه دانش تکمیل‌کنندگان از پلتفرم‌ها (از شاخص KR)
P7 آگاهی‌بخشی به مشتریان از قابلیت‌ها (از شاخص KR)
P7 توسعه دانش درباره مشتری (از شاخص KR)
P7 توسعه روابط با مشتریان (از شاخص KR)</t>
  </si>
  <si>
    <t xml:space="preserve">M01-3-K1</t>
  </si>
  <si>
    <t xml:space="preserve">M01-3-K2</t>
  </si>
  <si>
    <t xml:space="preserve">ارتقای «رضایت کارکنان از فعالیت‌های مدیریت ارتباطات»</t>
  </si>
  <si>
    <t xml:space="preserve">CM-02-00</t>
  </si>
  <si>
    <t xml:space="preserve">M01-3-K3</t>
  </si>
  <si>
    <t xml:space="preserve">راه‌اندازی ابزار داده‌محور تبادل دوسویه پیام (۱ ابزار عملیاتی)</t>
  </si>
  <si>
    <t xml:space="preserve">M01-4</t>
  </si>
  <si>
    <t xml:space="preserve">هدف: برگزاری حرفه‌ای رویدادها، نمایشگاه‌ها و تشریفات</t>
  </si>
  <si>
    <t xml:space="preserve">S4: مدیریت حرفه ای برگزاری نمایشگاه ها، رویدادها و تشریفات میزبانی مهمانان داخلی و خارجی</t>
  </si>
  <si>
    <t xml:space="preserve">L4 توسعه فرهنگ مشتری‌مداری و بهبود مستمر برای آن (learning; کسب و کار بسته خدمت)
L5 تمرکز بر اولویت و ارزش سازمان به آن (از شاخص KR)</t>
  </si>
  <si>
    <t xml:space="preserve">M01-4-K1</t>
  </si>
  <si>
    <t xml:space="preserve">ارتقای «نمره نظام آراستگی 5S -مدیریت ارتباطات و افکارسنجی»</t>
  </si>
  <si>
    <t xml:space="preserve">HR-101-11</t>
  </si>
  <si>
    <t xml:space="preserve">امتیاز از 100</t>
  </si>
  <si>
    <t xml:space="preserve">M01-4-K2</t>
  </si>
  <si>
    <t xml:space="preserve">اجرای ۱۰۰٪ رویدادها و نمایشگاه‌های مصوب سالانه</t>
  </si>
  <si>
    <t xml:space="preserve">M01-4-K3</t>
  </si>
  <si>
    <t xml:space="preserve">رضایت میزبانان/مهمانان از برگزاری رویدادها حداقل ۸۵٪</t>
  </si>
  <si>
    <t xml:space="preserve">02. مدیریت امور حقوقی و قراردادها   |   مدیریت‌های مستقل</t>
  </si>
  <si>
    <t xml:space="preserve">M02-1</t>
  </si>
  <si>
    <t xml:space="preserve">مدیریت امور حقوقی و قراردادها</t>
  </si>
  <si>
    <t xml:space="preserve">هدف: تسریع و استانداردسازی انعقاد قراردادهای سازمان</t>
  </si>
  <si>
    <t xml:space="preserve">D1-3 — صیانت حقوقی، نظارتی و امنیتی از دارایی‌ها و شبکه</t>
  </si>
  <si>
    <t xml:space="preserve">S1: تسریع و استانداردسازی فرآیند انعقاد قراردادهای سازمان</t>
  </si>
  <si>
    <t xml:space="preserve">P5 روابط پایدار با تعیین‌کنندگان و شرکای کلیدی (process; کسب و کار خدمات تعمیراتی)
P3 خلق شبکه‌ای از تأمین‌کنندگان خدمت (از شاخص KR)
P9 خدمات و مزایا به تولیدکنندگان و واردکنندگان قطعات (از شاخص KR)
P3 جذب/حفظ تکمیل‌کنندگان (از شاخص KR)</t>
  </si>
  <si>
    <t xml:space="preserve">M02-1-K1</t>
  </si>
  <si>
    <t xml:space="preserve">M02-1-K2</t>
  </si>
  <si>
    <t xml:space="preserve">کاهش «متوسط زمان انعقاد قراردادهای غیر بازرگانی»</t>
  </si>
  <si>
    <t xml:space="preserve">SP-54-01</t>
  </si>
  <si>
    <t xml:space="preserve">M02-2</t>
  </si>
  <si>
    <t xml:space="preserve">هدف: تأمین سرمایه در گردش از محل فروش املاک غیرمولد</t>
  </si>
  <si>
    <t xml:space="preserve">S2: تأمین حداکثری سرمایه در گردش از محل فروش املاک غیرمولد سازمان</t>
  </si>
  <si>
    <t xml:space="preserve">M02-2-K1</t>
  </si>
  <si>
    <t xml:space="preserve">تعیین تکلیف حقوقی ۱۰۰٪ املاک غیرمولد فهرست‌شده (اسناد و مجوزها)</t>
  </si>
  <si>
    <t xml:space="preserve">M02-2-K2</t>
  </si>
  <si>
    <t xml:space="preserve">تحقق برنامه‌ی فروش املاک غیرمولد مصوب سال</t>
  </si>
  <si>
    <t xml:space="preserve">M02-3</t>
  </si>
  <si>
    <t xml:space="preserve">هدف: مدیریت وثایق شبکه و بهینه‌سازی نرخ وصول مطالبات حقوقی</t>
  </si>
  <si>
    <t xml:space="preserve">S3: مدیریت وثایق نمایندگیها و عوامل فروش شبکه برای کاهش ریسک مالی سازمان
S4: بهینه سازی نرخ وصول مطالبات حقوقی شده سازمان</t>
  </si>
  <si>
    <t xml:space="preserve">F4 رشد درآمد (financial; کسب و کار خدمات تعمیراتی)
P1 طراحی مدل توزیع منابع مالی (process; کسب و کار بازرگانی قطعات)
P5 روابط پایدار با تعیین‌کنندگان و شرکای کلیدی (process; کسب و کار خدمات تعمیراتی)
P3 خلق شبکه‌ای از تأمین‌کنندگان خدمت (از شاخص KR)
P11 بازنگری وظایف عوامل فروش (از شاخص KR)</t>
  </si>
  <si>
    <t xml:space="preserve">M02-3-K1</t>
  </si>
  <si>
    <t xml:space="preserve">ارتقای «نسبت تعداد عوامل فروش دارای وثیقه کافی به تعداد کل عوامل فروش»</t>
  </si>
  <si>
    <t xml:space="preserve">SP-50-00</t>
  </si>
  <si>
    <t xml:space="preserve">M02-3-K2</t>
  </si>
  <si>
    <t xml:space="preserve">M02-4</t>
  </si>
  <si>
    <t xml:space="preserve">هدف: حفاظت از مالکیت معنوی و مدیریت حرفه‌ای دعاوی</t>
  </si>
  <si>
    <t xml:space="preserve">S5: حفاظت و توسعه مالکیت معنوی شرکت (علائم تجاری، طرح صنعتی، اختراعات) و مقابله با تخلفات
S6: مدیریت حرفه ای دعاوی قضایی برای کاهش ریسک حقوقی و مالی سازمان</t>
  </si>
  <si>
    <t xml:space="preserve">L5 تمرکز بر اولویت و ارزش سازمان به آن (از شاخص KR)</t>
  </si>
  <si>
    <t xml:space="preserve">M02-4-K1</t>
  </si>
  <si>
    <t xml:space="preserve">ارتقای «نمره نظام آراستگی 5S -مدیریت امور حقوقی و قراردادها»</t>
  </si>
  <si>
    <t xml:space="preserve">HR-101-12</t>
  </si>
  <si>
    <t xml:space="preserve">M02-4-K2</t>
  </si>
  <si>
    <t xml:space="preserve">ثبت/تمدید ۱۰۰٪ علائم تجاری و طرح‌های صنعتی سررسیدشده سال</t>
  </si>
  <si>
    <t xml:space="preserve">M02-4-K3</t>
  </si>
  <si>
    <t xml:space="preserve">پاسخ‌گویی قانونی به ۱۰۰٪ دعاوی در مهلت مقرر</t>
  </si>
  <si>
    <t xml:space="preserve">03. مدیریت امور مشتریان   |   مدیریت‌های مستقل</t>
  </si>
  <si>
    <t xml:space="preserve">M03-1</t>
  </si>
  <si>
    <t xml:space="preserve">مدیریت امور مشتریان</t>
  </si>
  <si>
    <t xml:space="preserve">هدف: رسیدگی سریع و رضایت‌بخش به شکایات (از جمله VIP و مراجع نظارتی)</t>
  </si>
  <si>
    <t xml:space="preserve">D1-2 — رسیدگی سریع و اثربخش به شکایات و کاهش زمان خواب خودرو</t>
  </si>
  <si>
    <t xml:space="preserve">S1: رسیدگی به شکایات مشتریان با تمرکز بر افزایش رضایت مشتریان .
S5: رسیدگی تخصصی و سریع به شکایات VIP و مراجع نظارتی/قضایی جهت حفظ اعتبار برند</t>
  </si>
  <si>
    <t xml:space="preserve">P8 استفاده از تجربه مشتری (از شاخص KR)
L2 CRM و پایگاه داده مشتریان شامل کلیه فعالیت‌های زنجیره (از شاخص KR)
L2 CRM و پایگاه داده مشتریان تا تکمیل‌کنندگان (از شاخص KR)
P9 توجه و عکس‌العمل مناسب به بازخوردها با ارتباط مؤثر و مستمر (از شاخص KR)
P9 مدیریت اثربخش برگشتی‌ها و شکایات (از شاخص KR)</t>
  </si>
  <si>
    <t xml:space="preserve">M03-1-K1</t>
  </si>
  <si>
    <t xml:space="preserve">M03-1-K2</t>
  </si>
  <si>
    <t xml:space="preserve">M03-1-K3</t>
  </si>
  <si>
    <t xml:space="preserve">ارتقای «نسبت شکایات مختومه شده زیر15 روز به کل شکایات»</t>
  </si>
  <si>
    <t xml:space="preserve">CRM-31-01</t>
  </si>
  <si>
    <t xml:space="preserve">M03-1-K4</t>
  </si>
  <si>
    <t xml:space="preserve">ارتقای «رضایت مشتریان از نحوه رسیدگی به شکایات»</t>
  </si>
  <si>
    <t xml:space="preserve">crm-02-00</t>
  </si>
  <si>
    <t xml:space="preserve">M03-2</t>
  </si>
  <si>
    <t xml:space="preserve">هدف: شناسایی الگوهای بحرانی شکایات با تحلیل داده‌محور</t>
  </si>
  <si>
    <t xml:space="preserve">S2: شناسایی الگوهای بحرانی شکایات از طریق تحلیل داده محور</t>
  </si>
  <si>
    <t xml:space="preserve">P8 استفاده از تجربه مشتری (از شاخص KR)
P9 مدیریت اثربخش برگشتی‌ها و شکایات (از شاخص KR)
P13 استفاده از تجربه مشتری (از شاخص KR)
L6 مشتری‌محوری و مکمل‌محوری با تمرکز بر هزینه جابجایی و انتقال (از شاخص KR)
L3 ABC و CRM برای هر مشتری در طول عمر (از شاخص KR)
L4 ABC، CRM و باشگاه مشتریان (از شاخص KR)</t>
  </si>
  <si>
    <t xml:space="preserve">M03-2-K1</t>
  </si>
  <si>
    <t xml:space="preserve">M03-2-K2</t>
  </si>
  <si>
    <t xml:space="preserve">کاهش «نسبت درخواست های شکایت شده به کل درخواستها»</t>
  </si>
  <si>
    <t xml:space="preserve">CRM-43-01</t>
  </si>
  <si>
    <t xml:space="preserve">M03-2-K3</t>
  </si>
  <si>
    <t xml:space="preserve">ارائه حداقل ۴ گزارش فصلی الگوهای بحرانی شکایات همراه با اقدام اصلاحی</t>
  </si>
  <si>
    <t xml:space="preserve">M03-3</t>
  </si>
  <si>
    <t xml:space="preserve">هدف: بررسی علل زمان خواب خودرو در شبکه و کاهش هزینه‌های ناشی از آن</t>
  </si>
  <si>
    <t xml:space="preserve">S3: بررسی علل زمان خواب خودرو در شبکه (گارانتی) و هزینه های ناشی از آن</t>
  </si>
  <si>
    <t xml:space="preserve">F4 کاهش هزینه کلیم (financial; کسب و کار گارانتی خودرو)
P4 کنترل چرخه عمر خدمات (از شاخص KR)
C4 خرید آسان و سریع (از شاخص KR)</t>
  </si>
  <si>
    <t xml:space="preserve">M03-3-K1</t>
  </si>
  <si>
    <t xml:space="preserve">M03-3-K2</t>
  </si>
  <si>
    <t xml:space="preserve">کاهش «متوسط زمان خواب خودروها در شبکه (با برند گروه در شبکه)»</t>
  </si>
  <si>
    <t xml:space="preserve">CRM-16-01</t>
  </si>
  <si>
    <t xml:space="preserve">M03-3-K3</t>
  </si>
  <si>
    <t xml:space="preserve">کاهش «نسبت تعداد خودروهای گارانتی مشمول پرداخت هزینه خواب»</t>
  </si>
  <si>
    <t xml:space="preserve">CRM-09-00</t>
  </si>
  <si>
    <t xml:space="preserve">M03-4</t>
  </si>
  <si>
    <t xml:space="preserve">هدف: توسعه مدیریت دانش مشتری</t>
  </si>
  <si>
    <t xml:space="preserve">S4: توسعه مدیریت دانش مشتری برای شناخت عمیق تر نیازها و کاهش ریسک مشتری</t>
  </si>
  <si>
    <t xml:space="preserve">C5 رشد سریع مشتریان (customer; کسب و کار آپشن)
L2 پایگاه داده مشتریان و مدیریت دانش (learning; کسب و کار بسته خدمت)
P13 استفاده از تجربه مشتری (process; کسب و کار بازرگانی قطعات)
L5 تمرکز بر اولویت و ارزش سازمان به آن (از شاخص KR)</t>
  </si>
  <si>
    <t xml:space="preserve">M03-4-K1</t>
  </si>
  <si>
    <t xml:space="preserve">ارتقای «نمره نظام آراستگی 5S - مدیریت امور مشتریان»</t>
  </si>
  <si>
    <t xml:space="preserve">HR-101-25</t>
  </si>
  <si>
    <t xml:space="preserve">M03-4-K2</t>
  </si>
  <si>
    <t xml:space="preserve">تکمیل ۱۰۰٪ نقاط‌عطف پایگاه دانش مشتری و باشگاه مشتریان</t>
  </si>
  <si>
    <t xml:space="preserve">04. مدیریت بازرسی   |   مدیریت‌های مستقل</t>
  </si>
  <si>
    <t xml:space="preserve">M04-1</t>
  </si>
  <si>
    <t xml:space="preserve">مدیریت بازرسی</t>
  </si>
  <si>
    <t xml:space="preserve">هدف: استقرار نظام بازرسی دوره‌ای و داخلی</t>
  </si>
  <si>
    <t xml:space="preserve">S1: استقرار و اجرای نظام بازرسی دوره‌ای و موردی از شبکه نمایندگی‌های مجاز خدمات پس از فروش
S5: بازرسی داخلی فرآیندهای درون‌سازمانی و برون‌سازمانی و تدوین خط‌مشی بازرسی منطبق با قوانین بالادستی</t>
  </si>
  <si>
    <t xml:space="preserve">C1 خدمات باکیفیت (customer; کسب و کار خدمات تعمیراتی)
C2 خدمات باکیفیت (customer; کسب و کار بسته خدمت)
P12 استانداردهای ایمنی و بهداشت شغلی — الزامات زیست‌محیطی (process; کسب و کار آپشن)
P14 الزامات زیست‌محیطی (process; کسب و کار خدمات تعمیراتی)
P23 استانداردهای ایمنی و بهداشت شغلی — الزامات زیست‌محیطی (process; کسب و کار بازرگانی قطعات)
P6 کیفیت پایدار تعمیرات (process; کسب و کار گارانتی خودرو)</t>
  </si>
  <si>
    <t xml:space="preserve">M04-1-K1</t>
  </si>
  <si>
    <t xml:space="preserve">بازرسی از ۱۰۰٪ نمایندگی‌های مجاز طبق برنامه سالانه مصوب</t>
  </si>
  <si>
    <t xml:space="preserve">M04-1-K2</t>
  </si>
  <si>
    <t xml:space="preserve">تدوین و ابلاغ خط‌مشی بازرسی منطبق بر قوانین بالادستی (۱ سند)</t>
  </si>
  <si>
    <t xml:space="preserve">M04-2</t>
  </si>
  <si>
    <t xml:space="preserve">هدف: صیانت از برند و مقابله با کالای تقلبی</t>
  </si>
  <si>
    <t xml:space="preserve">S2: مبارزه مستمر با قاچاق، تقلب و تولید و توزیع کالای تقلبی قطعات یدکی خودرو
S3: نظارت بر اصالت لیبل و هولوگرام امنیتی قطعات در سطح شبکه و بازار جهت صیانت از برند سایپایدک</t>
  </si>
  <si>
    <t xml:space="preserve">P22 همکاری با دولت درباره قاچاق، تقلب و عدم استفاده از استانداردهای اجباری (process; کسب و کار بازرگانی قطعات)</t>
  </si>
  <si>
    <t xml:space="preserve">M04-2-K1</t>
  </si>
  <si>
    <t xml:space="preserve">پوشش بازدید لیبل/هولوگرام در ۱۰۰٪ مراکز عمده‌ی توزیع برنامه‌ریزی‌شده</t>
  </si>
  <si>
    <t xml:space="preserve">M04-2-K2</t>
  </si>
  <si>
    <t xml:space="preserve">پیگیری ۱۰۰٪ گزارش‌های کالای تقلبی تا قطعی‌شدن نتیجه</t>
  </si>
  <si>
    <t xml:space="preserve">M04-3</t>
  </si>
  <si>
    <t xml:space="preserve">هدف: پیگیری شکایات مربوط به نمایندگی‌ها تا حصول نتیجه</t>
  </si>
  <si>
    <t xml:space="preserve">S4: مدیریت و پیگیری شکایات مشتریان و ذینفعان از عملکرد نمایندگی‌ها و شبکه خدمات پس از فروش تا حصول نتیجه</t>
  </si>
  <si>
    <t xml:space="preserve">C1 خدمات باکیفیت (customer; کسب و کار خدمات تعمیراتی)
P6 کیفیت پایدار تعمیرات (process; کسب و کار گارانتی خودرو)</t>
  </si>
  <si>
    <t xml:space="preserve">M04-3-K1</t>
  </si>
  <si>
    <t xml:space="preserve">مختومه‌شدن حداقل ۹۰٪ شکایات نمایندگی‌ها زیر ۲۰ روز</t>
  </si>
  <si>
    <t xml:space="preserve">M04-3-K2</t>
  </si>
  <si>
    <t xml:space="preserve">رضایت شاکی از نتیجه‌ی رسیدگی حداقل ۸۰٪</t>
  </si>
  <si>
    <t xml:space="preserve">05. مدیریت حراست   |   مدیریت‌های مستقل</t>
  </si>
  <si>
    <t xml:space="preserve">M05-1</t>
  </si>
  <si>
    <t xml:space="preserve">مدیریت حراست</t>
  </si>
  <si>
    <t xml:space="preserve">هدف: تأمین امنیت فیزیکی و حفاظت پرسنلی</t>
  </si>
  <si>
    <t xml:space="preserve">S1: تامین امنیت فیزیکی تاسیسات و کنترل تردد کارکنان، مراجعان، کالا و خودرو در سطح شرکت
S3: ارتقای سطح حفاظت پرسنلی، صلاحیت سنجی نیروی انسانی و شناسایی تهدیدات و آسیب های احتمالی نفوذی</t>
  </si>
  <si>
    <t xml:space="preserve">M05-1-K1</t>
  </si>
  <si>
    <t xml:space="preserve">ثبت و پیگیری ۱۰۰٪ رخدادهای امنیتی تا بستن پرونده</t>
  </si>
  <si>
    <t xml:space="preserve">M05-1-K2</t>
  </si>
  <si>
    <t xml:space="preserve">اجرای ۱۰۰٪ صلاحیت‌سنجی‌های برنامه‌ریزی‌شده</t>
  </si>
  <si>
    <t xml:space="preserve">M05-2</t>
  </si>
  <si>
    <t xml:space="preserve">هدف: حفاظت از اسناد و اطلاعات، امنیت سایبری و ایمنی حریق</t>
  </si>
  <si>
    <t xml:space="preserve">S2: حفاظت، طبقه بندی و کنترل دسترسی به اسناد، اطلاعات و مدارک محرمانه سازمان
S4: پیشگیری از حوادث آتش سوزی و ارتقای آمادگی ایمنی حریق در مراکز شرکت
S6: ارتقای امنیت شبکه و فناوری اطلاعات و پیشگیری از حملات سایبری و نشت اطلاعات</t>
  </si>
  <si>
    <t xml:space="preserve">L5 بهبود و توسعه زیرساخت فناوری اطلاعات (learning; کسب و کار خدمات تعمیراتی)
L8 بهبود و توسعه زیرساخت فناوری اطلاعات (learning; کسب و کار بازرگانی قطعات)
P12 استانداردهای ایمنی و بهداشت شغلی — الزامات زیست‌محیطی (process; کسب و کار آپشن)
P23 استانداردهای ایمنی و بهداشت شغلی — الزامات زیست‌محیطی (process; کسب و کار بازرگانی قطعات)</t>
  </si>
  <si>
    <t xml:space="preserve">M05-2-K1</t>
  </si>
  <si>
    <t xml:space="preserve">طبقه‌بندی و کنترل دسترسی ۱۰۰٪ اسناد محرمانه‌ی شناسایی‌شده</t>
  </si>
  <si>
    <t xml:space="preserve">M05-2-K2</t>
  </si>
  <si>
    <t xml:space="preserve">اجرای ۲ رزمایش/آموزش آمادگی حریق در مراکز اصلی</t>
  </si>
  <si>
    <t xml:space="preserve">M05-2-K3</t>
  </si>
  <si>
    <t xml:space="preserve">ثبت صفر نشت اطلاعات محرمانه</t>
  </si>
  <si>
    <t xml:space="preserve">M05-3</t>
  </si>
  <si>
    <t xml:space="preserve">هدف: نظارت حراستی بر شبکه نمایندگی و عاملین</t>
  </si>
  <si>
    <t xml:space="preserve">S5: نظارت و ارزیابی عملکرد حراستی شبکه نمایندگی، عاملین و دفاتر منطقه ای و ارتقای امنیت شبکه خدمات پس از فروش</t>
  </si>
  <si>
    <t xml:space="preserve">P11 نوآوری در فرآیند توسعه و کنترل شبکه و کلیم (process; کسب و کار گارانتی خودرو)</t>
  </si>
  <si>
    <t xml:space="preserve">M05-3-K1</t>
  </si>
  <si>
    <t xml:space="preserve">ارزیابی حراستی از حداقل ۸۰٪ نمایندگی‌ها/دفاتر منطقه‌ای</t>
  </si>
  <si>
    <t xml:space="preserve">M05-3-K2</t>
  </si>
  <si>
    <t xml:space="preserve">ارائه ۴ گزارش فصلی ارزیابی حراستی شبکه</t>
  </si>
  <si>
    <t xml:space="preserve">06. مدیریت حسابرسی داخلی   |   مدیریت‌های مستقل</t>
  </si>
  <si>
    <t xml:space="preserve">M06-1</t>
  </si>
  <si>
    <t xml:space="preserve">مدیریت حسابرسی داخلی</t>
  </si>
  <si>
    <t xml:space="preserve">هدف: حسابرسی عملیاتی مالی، فروش و قیمت‌گذاری</t>
  </si>
  <si>
    <t xml:space="preserve">S1: برنامه ریزی و اجرای حسابرسی های عملیاتی سالانه جهت حصول اطمینان از صحت عملیات مالی و حسابداری شرکت
S4: حسابرسی فروش و خدمات پس از فروش شبکه و کنترل صحت تسویه حساب نمایندگان و عاملین لغو شده
S5: کنترل انطباق قیمت گذاری فروش و شناسایی و پیگیری مطالبات مشکوک الوصول شبکه فروش</t>
  </si>
  <si>
    <t xml:space="preserve">M06-1-K1</t>
  </si>
  <si>
    <t xml:space="preserve">اجرای ۱۰۰٪ برنامه‌ی حسابرسی سالانه مصوب</t>
  </si>
  <si>
    <t xml:space="preserve">M06-1-K2</t>
  </si>
  <si>
    <t xml:space="preserve">ارائه گزارش حسابرسی حداکثر ۳۰ روز پس از پایان هر مأموریت</t>
  </si>
  <si>
    <t xml:space="preserve">M06-2</t>
  </si>
  <si>
    <t xml:space="preserve">هدف: مدیریت ریسک و نظارت بر مناقصه/مزایده/قراردادها</t>
  </si>
  <si>
    <t xml:space="preserve">S2: مدیریت ریسک های اثرگذار بر فرآیندهای سازمان و نظارت بر عملکرد واحدها و پیمانکاران
S3: نظارت و کنترل بر مزایده ها، مناقصه ها و قراردادهای سازمان و انطباق آنها با آیین نامه ها و دستورالعمل های داخلی</t>
  </si>
  <si>
    <t xml:space="preserve">P4 مدیریت ریسک مالی (process; کسب و کار گارانتی خودرو)</t>
  </si>
  <si>
    <t xml:space="preserve">M06-2-K1</t>
  </si>
  <si>
    <t xml:space="preserve">بازنگری و به‌روزرسانی ثبت ریسک سازمان (۲ نوبت)</t>
  </si>
  <si>
    <t xml:space="preserve">M06-2-K2</t>
  </si>
  <si>
    <t xml:space="preserve">بررسی ۱۰۰٪ مناقصه/مزایده‌های بالاتر از سقف مقرر</t>
  </si>
  <si>
    <t xml:space="preserve">M06-3</t>
  </si>
  <si>
    <t xml:space="preserve">هدف: حسابرسی انبار و زنجیره تأمین</t>
  </si>
  <si>
    <t xml:space="preserve">S7: حسابرسی انبار و زنجیرۀ تأمین با تمرکز بر کنترل موجودی کالا ، فرآیند ورود و خروج کالا و انطباق فیزیکی و سیستمی موجودیها .</t>
  </si>
  <si>
    <t xml:space="preserve">M06-3-K1</t>
  </si>
  <si>
    <t xml:space="preserve">حسابرسی ۱۰۰٪ انبارهای اصلی طبق برنامه با گزارش مغایرت موجودی</t>
  </si>
  <si>
    <t xml:space="preserve">M06-3-K2</t>
  </si>
  <si>
    <t xml:space="preserve">انطباق موجودی فیزیکی و سیستمی در حسابرسی حداقل ۹۸٪</t>
  </si>
  <si>
    <t xml:space="preserve">M06-4</t>
  </si>
  <si>
    <t xml:space="preserve">هدف: همکاری با حسابرسان مستقل و پیگیری اصلاحات</t>
  </si>
  <si>
    <t xml:space="preserve">S6: همکاری موثر با حسابرسان مستقل، بازرس قانونی و حسابرسان مالیاتی و پیگیری اجرای موارد مندرج در گزارش های آنان</t>
  </si>
  <si>
    <t xml:space="preserve">M06-4-K1</t>
  </si>
  <si>
    <t xml:space="preserve">بستن حداقل ۹۰٪ موارد گزارش حسابرسان مستقل/بازرس قانونی در مهلت مقرر</t>
  </si>
  <si>
    <t xml:space="preserve">M06-4-K2</t>
  </si>
  <si>
    <t xml:space="preserve">ارائه پاسخ به ۱۰۰٪ استعلام‌های حسابرسان مالیاتی در مهلت</t>
  </si>
  <si>
    <t xml:space="preserve">07. مدیریت مهندسی   |   معاونت مهندسی و کیفیت</t>
  </si>
  <si>
    <t xml:space="preserve">M07-1</t>
  </si>
  <si>
    <t xml:space="preserve">مدیریت مهندسی</t>
  </si>
  <si>
    <t xml:space="preserve">هدف: تحقق به‌موقع محصولات جدید و ارتقای دستگاه‌های عیب‌یاب شبکه</t>
  </si>
  <si>
    <t xml:space="preserve">D2-2 — داده‌ی فنی دقیق و به‌روز برای شبکه (سریال، TM، مدارک فنی)</t>
  </si>
  <si>
    <t xml:space="preserve">S1: هماهنگی و نظارت بر تحقق محصول پروژه های خودروسازی گروه سایپا و تدوین برنامه اجرایی داخل سازمان
S8: توسعه، پشتیبانی فنی و ارتقای دستگاه های عیب یاب شبکه نمایندگی جهت اجرای دقیق عیب یابی مطابق پروتکل خودروساز</t>
  </si>
  <si>
    <t xml:space="preserve">L4 استفاده از هوش مصنوعی در عیب‌یابی (learning; کسب و کار گارانتی خودرو)
L6 استفاده از هوش مصنوعی در عیب‌یابی (learning; کسب و کار خدمات تعمیراتی)
P1 افزایش کیفیت قطعات خودرو یا مشارکت خودروساز (از شاخص KR)
P6 سرمایه‌گذاری و طرح‌های مشترک با طرح‌سازان در قطعات یدکی (از شاخص KR)
P8 هم‌افزایی تولیدکنندگان گروه (از شاخص KR)
P5 سرمایه‌گذاری مشترک در ایراتورهای پلتفرم ارتباطی (از شاخص KR)</t>
  </si>
  <si>
    <t xml:space="preserve">M07-1-K1</t>
  </si>
  <si>
    <t xml:space="preserve">M07-1-K2</t>
  </si>
  <si>
    <t xml:space="preserve">توسعه‌ی قابلیت دستگاه جامع عیب‌یاب برای حداقل ۳ محصول/سامانه‌ی جدید</t>
  </si>
  <si>
    <t xml:space="preserve">M07-2</t>
  </si>
  <si>
    <t xml:space="preserve">هدف: دقت داده‌ی فنی (BOM، سریال، ECN، مدارک فنی)</t>
  </si>
  <si>
    <t xml:space="preserve">S2: تهیه و بروزرسانی مدارک فنی و مستندات مهندسی محصولات تحت پوشش (دفترچه راهنما، راهنمای تعمیرات، آیتم های سرویس ادواری)
S4: مدیریت سریال قطعات مهندسی (BOM، کیت ها)
S6: اعمال به موقع آخرین تغییرات مهندسی قطعات خودروها (ECN) در سیستم جامع مهندسی و کیفیت شرکت</t>
  </si>
  <si>
    <t xml:space="preserve">L5 توسعه فرهنگ بهبود مستمر (learning; کسب و کار آپشن)
L5 توسعه فرهنگ بهبود مستمر (learning; کسب و کار بازرگانی قطعات)
L5 توسعه فرهنگ بهبود مستمر (learning; کسب و کار گارانتی خودرو)
F4 کاهش هزینه کلیم (از شاخص KR)
P12 نوآوری در فرآیند عیب‌یابی و فرآیند تعمیر/تعویض (از شاخص KR)
P21 توسعه استانداردهای اجباری قطعات یدکی (از شاخص KR)
P22 همکاری با دولت درباره قاچاق، تقلب و عدم استفاده از استانداردهای اجباری (از شاخص KR)</t>
  </si>
  <si>
    <t xml:space="preserve">M07-2-K1</t>
  </si>
  <si>
    <t xml:space="preserve">M07-2-K2</t>
  </si>
  <si>
    <t xml:space="preserve">اعمال ۱۰۰٪ ECN های دریافتی حداکثر در ۳۰ روز</t>
  </si>
  <si>
    <t xml:space="preserve">M07-2-K3</t>
  </si>
  <si>
    <t xml:space="preserve">به‌روزرسانی مدارک فنی ۱۰۰٪ محصولات تحت پوشش</t>
  </si>
  <si>
    <t xml:space="preserve">M07-3</t>
  </si>
  <si>
    <t xml:space="preserve">هدف: یکسان‌سازی TM، نظام‌های کنترلی گارانتی و ابزارهای مخصوص تعمیرات</t>
  </si>
  <si>
    <t xml:space="preserve">S3: استقرار نظام های کنترلی مورد نیاز حوزه گارانتی
S5: طراحی و توسعه و یکسان سازی ابزارهای مخصوص و تجهیزات مرتبط با تعمیرات خودروها
S7: تدوین و یکسان سازی زمان استاندارد تعمیرات (TM) شبکه خدمات پس از فروش برای محصولات جدید و موجود</t>
  </si>
  <si>
    <t xml:space="preserve">L5 توسعه فرهنگ بهبود مستمر (learning; کسب و کار گارانتی خودرو)
L7 توسعه فرهنگ مشتری‌مداری و روحیه پاسخگویی و بهبود مستمر (learning; کسب و کار خدمات تعمیراتی)
P12 نوآوری در فرآیند عیب‌یابی و فرآیند تعمیر/تعویض (از شاخص KR)
P21 توسعه استانداردهای اجباری قطعات یدکی (از شاخص KR)
P8 نوآوری در شناسایی و استفاده از قطعات غیرقانونی از اپلیکیشن‌ها (از شاخص KR)</t>
  </si>
  <si>
    <t xml:space="preserve">M07-3-K1</t>
  </si>
  <si>
    <t xml:space="preserve">M07-3-K2</t>
  </si>
  <si>
    <t xml:space="preserve">استقرار حداقل ۲ نظام کنترلی حوزه گارانتی</t>
  </si>
  <si>
    <t xml:space="preserve">M07-3-K3</t>
  </si>
  <si>
    <t xml:space="preserve">طراحی/یکسان‌سازی حداقل ۳ ابزار مخصوص تعمیرات</t>
  </si>
  <si>
    <t xml:space="preserve">08. مدیریت کیفیت   |   معاونت مهندسی و کیفیت</t>
  </si>
  <si>
    <t xml:space="preserve">M08-1</t>
  </si>
  <si>
    <t xml:space="preserve">مدیریت کیفیت</t>
  </si>
  <si>
    <t xml:space="preserve">هدف: کاهش برگشت مشتری و برگشت از فروش به علت کیفیت</t>
  </si>
  <si>
    <t xml:space="preserve">D2-1 — کاهش برگشت مشتری و ارتقای کیفیت قطعات و خدمات</t>
  </si>
  <si>
    <t xml:space="preserve">S1: بهبود فرآیند برگشت از فروش قطعات به علت کیفیت قطعه
S3: کاهش نرخ برگشت قطعات نصب دوم در نمایندگی ها از طریق پشتیبانی کیفی شکایات مرتبط با قطعات نصب دوم
S4: ارزیابی و ارتقای کیفیت خدمات پس از فروش شبکه از طریق بازدید میدانی کیفی و پایش شاخص های برگشت از تعمیرات
S10: بهبود شاخص برگشت از تعمیرات مبتنی بر داده های خدمات پس از فروش</t>
  </si>
  <si>
    <t xml:space="preserve">C1 خدمات باکیفیت (customer; کسب و کار خدمات تعمیراتی)
C2 خدمات باکیفیت (customer; کسب و کار بسته خدمت)
P1 افزایش کیفیت قطعات خودرو یا مشارکت خودروساز (process; کسب و کار گارانتی خودرو)
P6 کیفیت پایدار تعمیرات (process; کسب و کار گارانتی خودرو)
C4 حفظ مشتریان موجود (از شاخص KR)
C3 مشتریان وفادار (از شاخص KR)
P14 تضمین گارانتی قطعات با کاربرد ایجادی پلتفرم (از شاخص KR)
F4 کاهش هزینه کلیم (از شاخص KR)</t>
  </si>
  <si>
    <t xml:space="preserve">M08-1-K1</t>
  </si>
  <si>
    <t xml:space="preserve">کاهش «نرخ برگشت مشتری به نمایندگیها (2 ماه یا 3000 کیلومتر)»</t>
  </si>
  <si>
    <t xml:space="preserve">S-07-02</t>
  </si>
  <si>
    <t xml:space="preserve">M08-1-K2</t>
  </si>
  <si>
    <t xml:space="preserve">M08-1-K3</t>
  </si>
  <si>
    <t xml:space="preserve">M08-1-K4</t>
  </si>
  <si>
    <t xml:space="preserve">M08-2</t>
  </si>
  <si>
    <t xml:space="preserve">هدف: چابک‌سازی کنترل کیفی ورودی، توسعه منابع تأمین و صیانت از اصالت قطعات</t>
  </si>
  <si>
    <t xml:space="preserve">S2: چابک سازی فرآیند بررسی کیفی نمونه قطعات با حفظ الزامات کیفی برای توسعه منابع تامین
S7: صیانت از اصالت قطعات، توسعه استانداردهای اجباری و پشتیبانی کیفی قطعات
S8: بازنگری و بهینه سازی فرآیند کنترل محموله های ورودی</t>
  </si>
  <si>
    <t xml:space="preserve">M08-2-K1</t>
  </si>
  <si>
    <t xml:space="preserve">نمونه‌برداری و بازرسی حداقل ۹۵٪ محموله‌های ورودی طبق طرح بازرسی</t>
  </si>
  <si>
    <t xml:space="preserve">M08-2-K2</t>
  </si>
  <si>
    <t xml:space="preserve">کاهش میانگین زمان بررسی کیفی نمونه قطعات نسبت به مبنای ۱۴۰۴</t>
  </si>
  <si>
    <t xml:space="preserve">پیشنهادی — درصد تغییر نسبت به مبنای ۱۴۰۴ (مبنا باید ثبت شود)</t>
  </si>
  <si>
    <t xml:space="preserve">M08-2-K3</t>
  </si>
  <si>
    <t xml:space="preserve">پوشش کنترل اصالت قطعات در ۹۰٪ مراکز عمده‌ی توزیع</t>
  </si>
  <si>
    <t xml:space="preserve">M08-3</t>
  </si>
  <si>
    <t xml:space="preserve">هدف: ارتقای مهارت شبکه، کنترل هزینه کالیبراسیون و مدیریت فراخوان</t>
  </si>
  <si>
    <t xml:space="preserve">D2-3 — ارتقای مهارت و کنترل هزینه‌های کیفی شبکه</t>
  </si>
  <si>
    <t xml:space="preserve">S5: مدیریت و کنترل هزینه فرآیندهای نگهداری و کالیبراسیون تجهزات تعمیرگاهی شبکه خدمات پس از فروش
S6: مدیریت فرآیند فراخوان کیفی (Recall) قطعات و کنترل کلیم و هزینه های ناشی از فراخوان خودروساز
S9: ارزیابی و ارتقاء سطح مهارت پرسنل شبکه و پایش اثر بخشی دوره های آموزشی شبکه</t>
  </si>
  <si>
    <t xml:space="preserve">F4 کاهش هزینه کلیم (financial; کسب و کار گارانتی خودرو)
L5 توسعه فرهنگ بهبود مستمر (learning; کسب و کار گارانتی خودرو)
L6 انتقال دانش به ذی‌نفعان اصلی (از شاخص KR)
L3 مدیریت دانش (از شاخص KR)
P1 توسعه قابلیت‌های ارائه خدمات تخصصی به خودروهای برقی و هیبریدی (از شاخص KR)
L2 کارکنان متخصص و بهره‌ور در بخش عملیات (از شاخص KR)
P16 شفاف‌سازی و تسهیل برگشت از فروش/خرید (از شاخص KR)</t>
  </si>
  <si>
    <t xml:space="preserve">M08-3-K1</t>
  </si>
  <si>
    <t xml:space="preserve">M08-3-K2</t>
  </si>
  <si>
    <t xml:space="preserve">کاهش «متوسط زمان پاسخگویی به درخواستهای معاونت تامین»</t>
  </si>
  <si>
    <t xml:space="preserve">S-07-08</t>
  </si>
  <si>
    <t xml:space="preserve">M08-3-K3</t>
  </si>
  <si>
    <t xml:space="preserve">اجرای ۱۰۰٪ فراخوان‌های کیفی ابلاغی در مهلت مقرر</t>
  </si>
  <si>
    <t xml:space="preserve">09. مدیریت آموزش شبکه   |   معاونت خدمات پس از فروش</t>
  </si>
  <si>
    <t xml:space="preserve">M09-1</t>
  </si>
  <si>
    <t xml:space="preserve">مدیریت آموزش شبکه</t>
  </si>
  <si>
    <t xml:space="preserve">هدف: استقرار آموزش شایستگی‌محور و اثربخش</t>
  </si>
  <si>
    <t xml:space="preserve">D3-3 — توسعه کیفیت و سرمایه انسانی شبکه نمایندگی (DSI، آموزش، سبز)</t>
  </si>
  <si>
    <t xml:space="preserve">S1: استقرار نظام آموزش مبتنی بر شایستگی و نیازهای واقعی کسب وکار
S3: ارتقای اثربخشی آموزش و انتقال مهارت به محیط کار</t>
  </si>
  <si>
    <t xml:space="preserve">L6 انتقال دانش به ذی‌نفعان اصلی (از شاخص KR)
L3 مدیریت دانش (از شاخص KR)
L6 مشتری‌محوری و مکمل‌محوری با تمرکز بر هزینه جابجایی و انتقال (از شاخص KR)
P1 توسعه قابلیت‌های ارائه خدمات تخصصی به خودروهای برقی و هیبریدی (از شاخص KR)</t>
  </si>
  <si>
    <t xml:space="preserve">M09-1-K1</t>
  </si>
  <si>
    <t xml:space="preserve">M09-1-K2</t>
  </si>
  <si>
    <t xml:space="preserve">نیازسنجی شایستگی ۱۰۰٪ مشاغل فنی کلیدی شبکه</t>
  </si>
  <si>
    <t xml:space="preserve">M09-2</t>
  </si>
  <si>
    <t xml:space="preserve">هدف: تولید محتوای تخصصی، آموزش نوین و تقویم جامع آموزش</t>
  </si>
  <si>
    <t xml:space="preserve">S2: توسعه آموزش های نوین، ترکیبی و مشتری محور
S6: استانداردسازی و تولید محتوای تخصصی دوره های آموزشی فنی
S8: برنامه ریزی و اجرای تقویم جامع آموزش شبکه خدمات فروش</t>
  </si>
  <si>
    <t xml:space="preserve">L3 مدیریت دانش (learning; کسب و کار آپشن)
L3 مدیریت دانش (learning; کسب و کار بازرگانی قطعات)
L3 مدیریت دانش (learning; کسب و کار گارانتی خودرو)
L5 توسعه فرهنگ بهبود مستمر (learning; کسب و کار گارانتی خودرو)
L6 انتقال دانش به ذی‌نفعان اصلی (learning; کسب و کار بسته خدمت)
L8 مدیریت دانش (learning; کسب و کار خدمات تعمیراتی)
P1 نصب آسان قطعات جانبی در پلتفرم با سرعت و راحتی بالا (process; کسب و کار آپشن)
P6 توسعه دانش تکمیل‌کنندگان از پلتفرم‌ها (process; کسب و کار آپشن)</t>
  </si>
  <si>
    <t xml:space="preserve">M09-2-K1</t>
  </si>
  <si>
    <t xml:space="preserve">تولید/به‌روزرسانی محتوای حداقل ۱۰ دوره‌ی تخصصی (مکانیک، برق، تزئینات)</t>
  </si>
  <si>
    <t xml:space="preserve">M09-2-K2</t>
  </si>
  <si>
    <t xml:space="preserve">اجرای حداقل ۹۰٪ تقویم آموزشی شش‌ماهه</t>
  </si>
  <si>
    <t xml:space="preserve">M09-2-K3</t>
  </si>
  <si>
    <t xml:space="preserve">نسبت دوره‌های مجازی/ترکیبی به کل دوره‌ها حداقل ۳۰٪</t>
  </si>
  <si>
    <t xml:space="preserve">M09-3</t>
  </si>
  <si>
    <t xml:space="preserve">هدف: مدیریت دانش، شبکه مربیان و پایش داده‌محور</t>
  </si>
  <si>
    <t xml:space="preserve">S4: استقرار نظام مدیریت و توسعه دانش تخصصی
S5: استقرار نظام پایش و تحلیل داده محور و اقدامات اصلاحی
S7: توسعه و مدیریت شبکه مربیان، خبرگان و مراکز تخصصی</t>
  </si>
  <si>
    <t xml:space="preserve">M09-3-K1</t>
  </si>
  <si>
    <t xml:space="preserve">ثبت و انتشار حداقل ۱۰ تجربه/دانش تخصصی در سامانه دانش</t>
  </si>
  <si>
    <t xml:space="preserve">M09-3-K2</t>
  </si>
  <si>
    <t xml:space="preserve">ارزیابی و رتبه‌بندی ۱۰۰٪ مدرسان/مربیان فعال</t>
  </si>
  <si>
    <t xml:space="preserve">M09-3-K3</t>
  </si>
  <si>
    <t xml:space="preserve">پایش ماهانه اثربخشی ۱۰۰٪ دوره‌ها و ارائه اقدام اصلاحی</t>
  </si>
  <si>
    <t xml:space="preserve">10. مدیریت تعمیرگاه های مرکزی   |   معاونت خدمات پس از فروش</t>
  </si>
  <si>
    <t xml:space="preserve">M10-1</t>
  </si>
  <si>
    <t xml:space="preserve">مدیریت تعمیرگاه های مرکزی</t>
  </si>
  <si>
    <t xml:space="preserve">هدف: رشد و تنوع‌بخشی درآمد تعمیرگاه‌های مرکزی و مدیریت انبار</t>
  </si>
  <si>
    <t xml:space="preserve">D3-1 — رشد درآمد و سودآوری تعمیرگاه‌های مرکزی و خدمات گارانتی</t>
  </si>
  <si>
    <t xml:space="preserve">S3: افزایش درآمد کل تعمیرگاه های مرکزی از طریق تنوع بخشی منابع درآمدی (تعمیرات، آپشن، کارت طلایی، فروش خودرو، قطعات خدماتی)
S5: مدیریت بهینه انبارهای تعمیرگاهی و برنامه ریزی سفارش گذاری</t>
  </si>
  <si>
    <t xml:space="preserve">F1 سود عملیاتی خدمات تعمیراتی (financial; کسب و کار خدمات تعمیراتی)
F3 استراتژی رشد (financial; کسب و کار آپشن)
F3 استراتژی رشد (financial; کسب و کار بازرگانی قطعات)
F3 استراتژی رشد (financial; کسب و کار بسته خدمت)
F3 استراتژی رشد (financial; کسب و کار گارانتی خودرو)
F3 بیزینس یونیت شدن کسب‌وکار تعمیرگاه مرکزی (financial; کسب و کار خدمات تعمیراتی)
F4 رشد درآمد (financial; کسب و کار خدمات تعمیراتی)
F5 استفاده حداکثری از ظرفیت‌های سازمان و شبکه (از شاخص KR)
F5 استفاده حداکثری از ظرفیت شبکه (از شاخص KR)
F5 درآمد مستقیم از فروشگاه‌ها، تعمیرکاران و مشتریان جدید (از شاخص KR)
F7 افزایش سهم از هزینه‌های خودروی مشتری (از شاخص KR)</t>
  </si>
  <si>
    <t xml:space="preserve">M10-1-K1</t>
  </si>
  <si>
    <t xml:space="preserve">M10-1-K2</t>
  </si>
  <si>
    <t xml:space="preserve">M10-1-K3</t>
  </si>
  <si>
    <t xml:space="preserve">افزایش «درآمد حاصل از فروش قطعات آپشن در تعمیرگاه های مرکزی»</t>
  </si>
  <si>
    <t xml:space="preserve">S-143-07</t>
  </si>
  <si>
    <t xml:space="preserve">پیشنهادی: بیشینهٔ «۱۰٪ رشد نسبت به واقعی ۱۴۰۴»، «هدف تجمعی ثبت‌شده ۱۴۰۵ × ۲» و «روند عملکرد ۱۴۰۵ × ۲» (فرض: داده‌ها ۶ماهه) | سقف ۲ برابر مبنا اعمال شد (محاسبه‌ی خام: 1505)</t>
  </si>
  <si>
    <t xml:space="preserve">M10-1-K4</t>
  </si>
  <si>
    <t xml:space="preserve">افزایش «درآمد حاصل از فروش سایپا کارت طلائی در تعمیرگاه های مرکزی»</t>
  </si>
  <si>
    <t xml:space="preserve">S-143-04</t>
  </si>
  <si>
    <t xml:space="preserve">M10-1-K5</t>
  </si>
  <si>
    <t xml:space="preserve">اجرای ۱۰۰٪ برنامه‌ی سفارش‌گذاری انبار تعمیرگاهی با تحلیل مصرف ماهانه</t>
  </si>
  <si>
    <t xml:space="preserve">M10-2</t>
  </si>
  <si>
    <t xml:space="preserve">هدف: حداکثرسازی درآمد اجرت وارانتی/گارانتی، بهره‌وری و سودآوری</t>
  </si>
  <si>
    <t xml:space="preserve">S4: حداکثرسازی درآمد اجرت وارانتی (تعمیراتی و صافکاری) تعمیرگاه های مرکزی
S7: کنترل هزینه های عملیاتی و بیزینس یونیت سازی این کسب وکار</t>
  </si>
  <si>
    <t xml:space="preserve">F1 سود عملیاتی خدمات تعمیراتی (financial; کسب و کار خدمات تعمیراتی)
F1 سود عملیاتی گارانتی خودرو (financial; کسب و کار گارانتی خودرو)
F3 بیزینس یونیت شدن کسب‌وکار تعمیرگاه مرکزی (financial; کسب و کار خدمات تعمیراتی)
F6 توسعه درآمد MarkUp و LaborRate (financial; کسب و کار گارانتی خودرو)
P7 حداکثرسازی MarkUp و LaborRate خارجی (process; کسب و کار گارانتی خودرو)
F5 استفاده حداکثری از ظرفیت‌های سازمان و شبکه (از شاخص KR)
C5 سودآوری مشتری در دوره حضور (از شاخص KR)</t>
  </si>
  <si>
    <t xml:space="preserve">M10-2-K1</t>
  </si>
  <si>
    <t xml:space="preserve">افزایش «درآمد حاصل از اجرت وارانتی تعمیراتی در تعمیرگاه های مرکزی»</t>
  </si>
  <si>
    <t xml:space="preserve">S-143-02</t>
  </si>
  <si>
    <t xml:space="preserve">M10-2-K2</t>
  </si>
  <si>
    <t xml:space="preserve">افزایش «درآمد حاصل از اجرت وارانتی صافکاری در تعمیرگاه های مرکزی»</t>
  </si>
  <si>
    <t xml:space="preserve">S-143-03</t>
  </si>
  <si>
    <t xml:space="preserve">M10-2-K3</t>
  </si>
  <si>
    <t xml:space="preserve">M10-2-K4</t>
  </si>
  <si>
    <t xml:space="preserve">M10-2-K5</t>
  </si>
  <si>
    <t xml:space="preserve">ارتقای «بهره‌وری ایستگاه‌های کاری در تعمیرگاه های مرکزی»</t>
  </si>
  <si>
    <t xml:space="preserve">S-18-01</t>
  </si>
  <si>
    <t xml:space="preserve">M10-3</t>
  </si>
  <si>
    <t xml:space="preserve">هدف: رضایت، کیفیت تعمیر و سرعت خدمت‌دهی</t>
  </si>
  <si>
    <t xml:space="preserve">D3-2 — ارتقای رضایت مشتری و سرعت خدمت‌دهی در شبکه</t>
  </si>
  <si>
    <t xml:space="preserve">S1: بهبود رضایت و وفاداری مشتریان
S2: کنترل کیفیت تعمیرات و کاهش پذیرش های بالای ۴۸ ساعت
S6: بهبود بهره وری ایستگاه های کاری و کاهش متوسط زمان پذیرش تا ترخیص خودرو در تعمیرگاه های مرکزی</t>
  </si>
  <si>
    <t xml:space="preserve">F2 استراتژی بهره‌وری (financial; کسب و کار آپشن)
F2 استراتژی بهره‌وری (financial; کسب و کار بازرگانی قطعات)
F2 استراتژی بهره‌وری (financial; کسب و کار بسته خدمت)
F2 استراتژی بهره‌وری (financial; کسب و کار گارانتی خودرو)
F2 افزایش بهره‌وری (financial; کسب و کار خدمات تعمیراتی)
F6 استفاده حداکثری از ظرفیت ارائه خدمت و تعیین قطعه (financial; کسب و کار خدمات تعمیراتی)
L4 استفاده از هوش مصنوعی در عیب‌یابی (learning; کسب و کار گارانتی خودرو)
L6 استفاده از هوش مصنوعی در عیب‌یابی (learning; کسب و کار خدمات تعمیراتی)
P4 کنترل چرخه عمر خدمات (از شاخص KR)
C4 حفظ مشتریان موجود (از شاخص KR)
P6 کیفیت پایدار تعمیرات (از شاخص KR)
C3 مشتریان وفادار (از شاخص KR)
C2 خدمات باکیفیت (از شاخص KR)
C1 خدمات باکیفیت (از شاخص KR)</t>
  </si>
  <si>
    <t xml:space="preserve">M10-3-K1</t>
  </si>
  <si>
    <t xml:space="preserve">M10-3-K2</t>
  </si>
  <si>
    <t xml:space="preserve">کاهش «نسبت پذیرش های بالای 48 ساعت به تعداد پذیرش تعمیرگاه مرکزی (به جزء صافکاری و نقاشی)»</t>
  </si>
  <si>
    <t xml:space="preserve">S-63-05</t>
  </si>
  <si>
    <t xml:space="preserve">M10-3-K3</t>
  </si>
  <si>
    <t xml:space="preserve">M10-3-K4</t>
  </si>
  <si>
    <t xml:space="preserve">ارتقای «رضایت مشتریان از خدمات تعمیرگاه های مرکزی امتیاز کل- سایپا»</t>
  </si>
  <si>
    <t xml:space="preserve">N-108-00</t>
  </si>
  <si>
    <t xml:space="preserve">M10-3-K5</t>
  </si>
  <si>
    <t xml:space="preserve">کاهش «نرخ شکایت از تعمیرگاه های مرکزی»</t>
  </si>
  <si>
    <t xml:space="preserve">S-10-01</t>
  </si>
  <si>
    <t xml:space="preserve">11. مدیریت توسعه و بهبود شبکه   |   معاونت خدمات پس از فروش</t>
  </si>
  <si>
    <t xml:space="preserve">M11-1</t>
  </si>
  <si>
    <t xml:space="preserve">مدیریت توسعه و بهبود شبکه</t>
  </si>
  <si>
    <t xml:space="preserve">هدف: ارزیابی و رتبه‌بندی، توسعه متوازن شبکه و پشتیبانی تجاری منطقه‌ای</t>
  </si>
  <si>
    <t xml:space="preserve">S1: توسعه و بازنگری مستمر مدل های ارزیابی، رتبه بندی و عارضه یابی نمایندگی ها و رتبه بندی دفاتر منطقه ای
S2: توسعه کمی و کیفی متوازن شبکه خدمات پس از فروش
S6: توسعه کسب وکار و پشتیبانی تجاری از شبکه در منطقه</t>
  </si>
  <si>
    <t xml:space="preserve">P11 نوآوری در فرآیند توسعه و کنترل شبکه و کلیم (از شاخص KR)
F2 استراتژی بهره‌وری (از شاخص KR)
F5 استفاده حداکثری از ظرفیت‌های سازمان و شبکه (از شاخص KR)
F5 استفاده حداکثری از ظرفیت شبکه (از شاخص KR)</t>
  </si>
  <si>
    <t xml:space="preserve">M11-1-K1</t>
  </si>
  <si>
    <t xml:space="preserve">ارتقای «میزان حضور کارشناسی فنی در نمایندگی ها»</t>
  </si>
  <si>
    <t xml:space="preserve">AG-01-00</t>
  </si>
  <si>
    <t xml:space="preserve">M11-1-K2</t>
  </si>
  <si>
    <t xml:space="preserve">ارتقای «بهره وری ایستگاه های کاری در نمایندگی ها»</t>
  </si>
  <si>
    <t xml:space="preserve">N-16-00</t>
  </si>
  <si>
    <t xml:space="preserve">M11-1-K3</t>
  </si>
  <si>
    <t xml:space="preserve">پوشش حداقل ۸۰٪ نقاط خالی طرح توسعه‌ی جغرافیایی شبکه</t>
  </si>
  <si>
    <t xml:space="preserve">M11-2</t>
  </si>
  <si>
    <t xml:space="preserve">هدف: ارتقای رضایت مشتریان (CSI) و سرعت پذیرش تا ترخیص</t>
  </si>
  <si>
    <t xml:space="preserve">S5: مدیریت و بهبود مستمر شاخص های رضایت مشتریان و رسیدگی به شکایات (CSI)</t>
  </si>
  <si>
    <t xml:space="preserve">C2 خدمات باکیفیت (از شاخص KR)
C1 خدمات باکیفیت (از شاخص KR)
P4 کنترل چرخه عمر خدمات (از شاخص KR)
C4 خرید آسان و سریع (از شاخص KR)
P2 تعیین به‌موقع خدمت گارانتی و ارسال مسئولانه قطعه به نمایندگی (از شاخص KR)
P4 تامین به‌موقع و باکیفیت قطعات با حداقل قیمت (از شاخص KR)</t>
  </si>
  <si>
    <t xml:space="preserve">M11-2-K1</t>
  </si>
  <si>
    <t xml:space="preserve">M11-2-K2</t>
  </si>
  <si>
    <t xml:space="preserve">ارتقای «رضایت مشتریان از خدمات پس از فروش امتیاز کل(پارس خودرو)»</t>
  </si>
  <si>
    <t xml:space="preserve">CRM-21-02</t>
  </si>
  <si>
    <t xml:space="preserve">M11-2-K3</t>
  </si>
  <si>
    <t xml:space="preserve">M11-2-K4</t>
  </si>
  <si>
    <t xml:space="preserve">کاهش «متوسط زمان رسید قطعات VOR تا ترخیص خودرو در شبکه»</t>
  </si>
  <si>
    <t xml:space="preserve">VP-01-00</t>
  </si>
  <si>
    <t xml:space="preserve">ساعت</t>
  </si>
  <si>
    <t xml:space="preserve">M11-2-K5</t>
  </si>
  <si>
    <t xml:space="preserve">کاهش «نسبت پذیرش های بالای 48 ساعت به تعداد پذیرش نمایندگی ها (به جزء صافکاری و نقاشی)»</t>
  </si>
  <si>
    <t xml:space="preserve">S-63-04</t>
  </si>
  <si>
    <t xml:space="preserve">M11-3</t>
  </si>
  <si>
    <t xml:space="preserve">هدف: رضایت (DSI) و ماندگاری سرمایه انسانی نمایندگی‌ها</t>
  </si>
  <si>
    <t xml:space="preserve">S3: مدیریت و بهبود مستمر شاخص های رضایت نمایندگی ها و رسیدگی به شکایات (DSI)
S4: توسعه و نگهداشت سرمایه انسانی شبکه نمایندگی از طریق آموزش، جذب پرسنل و آیین نامه های تشویقی و کاهش نرخ خروج نیرو</t>
  </si>
  <si>
    <t xml:space="preserve">L6 انتقال دانش به ذی‌نفعان اصلی (learning; کسب و کار بسته خدمت)
P6 توسعه دانش تکمیل‌کنندگان از پلتفرم‌ها (process; کسب و کار آپشن)
P7 توسعه روابط با مشتریان (از شاخص KR)
P8 توجه به نیازها و انتظارات کسب‌وکار و بسته خدمت (از شاخص KR)
P14 توسعه سرمایه اجتماعی نزد تعمیرگاران (از شاخص KR)
L1 توسعه رویکرد شایستگی‌محور، مشاغل، جانشین‌پروری و شایسته‌گزینی (از شاخص KR)
P1 توسعه قابلیت‌های ارائه خدمات تخصصی به خودروهای برقی و هیبریدی (از شاخص KR)</t>
  </si>
  <si>
    <t xml:space="preserve">M11-3-K1</t>
  </si>
  <si>
    <t xml:space="preserve">M11-3-K2</t>
  </si>
  <si>
    <t xml:space="preserve">کاهش «نرخ خروج نیروی انسانی از نمایندگی ها (حوزه خدمات پس از فروش)»</t>
  </si>
  <si>
    <t xml:space="preserve">N-23-00</t>
  </si>
  <si>
    <t xml:space="preserve">M11-3-K3</t>
  </si>
  <si>
    <t xml:space="preserve">M11-3-K4</t>
  </si>
  <si>
    <t xml:space="preserve">رسیدگی به ۱۰۰٪ شکایات نمایندگی‌ها حداکثر ۱۰ روز کاری</t>
  </si>
  <si>
    <t xml:space="preserve">12. مدیریت فنی و گارانتی   |   معاونت خدمات پس از فروش</t>
  </si>
  <si>
    <t xml:space="preserve">M12-1</t>
  </si>
  <si>
    <t xml:space="preserve">مدیریت فنی و گارانتی</t>
  </si>
  <si>
    <t xml:space="preserve">هدف: کاهش هزینه کلیم و جلوگیری از مغایرت در فرآیند گارانتی</t>
  </si>
  <si>
    <t xml:space="preserve">S1: مدیریت و کاهش هزینه کلیم قطعات گارانتی از طریق تحلیل دقیق اطلاعات کلیم داخلی و خارجی شبکه
S2: عارضه یابی فرآیندهای گارانتی و جلوگیری از مغایرت کلیم</t>
  </si>
  <si>
    <t xml:space="preserve">F4 کاهش هزینه کلیم (financial; کسب و کار گارانتی خودرو)
P2 تعیین به‌موقع خدمت گارانتی و ارسال مسئولانه قطعه به نمایندگی (process; کسب و کار گارانتی خودرو)</t>
  </si>
  <si>
    <t xml:space="preserve">M12-1-K1</t>
  </si>
  <si>
    <t xml:space="preserve">کاهش هزینه‌ی کلیم هر خودرو نسبت به مبنای ۱۴۰۴ (مبنا باید ثبت شود)</t>
  </si>
  <si>
    <t xml:space="preserve">M12-1-K2</t>
  </si>
  <si>
    <t xml:space="preserve">پاسخ به ۱۰۰٪ اعتراضات نمایندگی‌ها حداکثر ۱۰ روز کاری</t>
  </si>
  <si>
    <t xml:space="preserve">M12-2</t>
  </si>
  <si>
    <t xml:space="preserve">هدف: تسویه‌ی به‌موقع قراردادهای گارانتی و مدیریت انبار برگشتی</t>
  </si>
  <si>
    <t xml:space="preserve">S3: انعقاد، مدیریت و تسویه به موقع قراردادهای گارانتی با خودروسازان داخلی و خارجی
S6: مدیریت انبار قطعات برگشتی گارانتی، کارشناسی فنی قطعات کلیم شده و کاهش هزینه انبارداری</t>
  </si>
  <si>
    <t xml:space="preserve">F1 سود عملیاتی گارانتی خودرو (financial; کسب و کار گارانتی خودرو)
P3 هزینه حداقلی در انبارداری، بسته‌بندی و حمل قطعات گارانتی (process; کسب و کار گارانتی خودرو)</t>
  </si>
  <si>
    <t xml:space="preserve">M12-2-K1</t>
  </si>
  <si>
    <t xml:space="preserve">تسویه‌ی حداقل ۹۰٪ مطالبات گارانتی در سررسید قرارداد</t>
  </si>
  <si>
    <t xml:space="preserve">M12-2-K2</t>
  </si>
  <si>
    <t xml:space="preserve">اتمام کارشناسی ۱۰۰٪ قطعات برگشتی کلیم‌شده حداکثر ۳۰ روز</t>
  </si>
  <si>
    <t xml:space="preserve">M12-3</t>
  </si>
  <si>
    <t xml:space="preserve">هدف: کلینیک فنی، مشاوره فنی (TC) و نمایندگی‌های سبز</t>
  </si>
  <si>
    <t xml:space="preserve">S4: تشکیل کلینیک فنی و تحلیل عیوب خودروهای جدید داخلی و خارجی و ارائه گزارش کیفی به خودروساز
S5: پشتیبانی و ارائه مشاوره فنی تخصصی به شبکه از طریق مرکز مشاوره فنی (TC) جهت کاهش زمان رفع عیب خودرو
S7: توسعه نمایندگی های منتخب سبز و ارتقای رعایت استانداردهای زیست محیطی در شبکه خدمات پس از فروش</t>
  </si>
  <si>
    <t xml:space="preserve">L4 استفاده از هوش مصنوعی در عیب‌یابی (learning; کسب و کار گارانتی خودرو)
L5 توسعه فرهنگ بهبود مستمر (learning; کسب و کار گارانتی خودرو)
L6 استفاده از هوش مصنوعی در عیب‌یابی (learning; کسب و کار خدمات تعمیراتی)
L7 توسعه فرهنگ مشتری‌مداری و روحیه پاسخگویی و بهبود مستمر (learning; کسب و کار خدمات تعمیراتی)
P1 افزایش کیفیت قطعات خودرو یا مشارکت خودروساز (process; کسب و کار گارانتی خودرو)
P14 الزامات زیست‌محیطی (process; کسب و کار خدمات تعمیراتی)
P6 کیفیت پایدار تعمیرات (process; کسب و کار گارانتی خودرو)
P10 توسعه کسب‌وکار شبکه (از شاخص KR)
P16 توسعه استانداردهای تعمیراتی برای نگه‌داشت ایمنی و محیط‌زیست (از شاخص KR)
P15 استقرار و بسط فرهنگ بازیافت (از شاخص KR)</t>
  </si>
  <si>
    <t xml:space="preserve">M12-3-K1</t>
  </si>
  <si>
    <t xml:space="preserve">M12-3-K2</t>
  </si>
  <si>
    <t xml:space="preserve">ارائه حداقل ۴ گزارش کیفی تحلیل عیوب خودروهای جدید به خودروساز</t>
  </si>
  <si>
    <t xml:space="preserve">M12-3-K3</t>
  </si>
  <si>
    <t xml:space="preserve">زمان متوسط پاسخ مرکز مشاوره‌ی فنی (TC) حداکثر ۴ ساعت</t>
  </si>
  <si>
    <t xml:space="preserve">13. مدیریت آپشن   |   معاونت توسعه کسب‌وکار و بازار</t>
  </si>
  <si>
    <t xml:space="preserve">M13-1</t>
  </si>
  <si>
    <t xml:space="preserve">مدیریت آپشن</t>
  </si>
  <si>
    <t xml:space="preserve">هدف: رشد سهم بازار و فروش آپشن در کانال‌های آنلاین و شبکه</t>
  </si>
  <si>
    <t xml:space="preserve">D4-1 — افزایش سهم بازار و درآمد از عاملیت‌ها، آپشن و بسته‌های خدمت</t>
  </si>
  <si>
    <t xml:space="preserve">S1: رشد سهم بازار آپشن و اکسسوری متناسب با خودروهای سایپا
S5: توسعه کانال فروش اینترنتی و شبکه نمایندگی برای رشد سریع مشتریان</t>
  </si>
  <si>
    <t xml:space="preserve">C5 رشد سریع مشتریان (customer; کسب و کار آپشن)
F3 استراتژی رشد (financial; کسب و کار آپشن)
F3 استراتژی رشد (financial; کسب و کار بازرگانی قطعات)
F3 استراتژی رشد (financial; کسب و کار بسته خدمت)
F3 استراتژی رشد (financial; کسب و کار گارانتی خودرو)
C3 تنوع خدمات مکمل و جانبی (از شاخص KR)
P19 توسعه عملیات‌های فروش (از شاخص KR)
P1 ارائه بسته‌های خدمت متنوع (از شاخص KR)
F5 درآمد حاصل از مشتریان جدید (از شاخص KR)</t>
  </si>
  <si>
    <t xml:space="preserve">M13-1-K1</t>
  </si>
  <si>
    <t xml:space="preserve">M13-1-K2</t>
  </si>
  <si>
    <t xml:space="preserve">افزایش «فروش ریالی خالص قطعات آپشن (AM)»</t>
  </si>
  <si>
    <t xml:space="preserve">P-30-00</t>
  </si>
  <si>
    <t xml:space="preserve">M13-1-K3</t>
  </si>
  <si>
    <t xml:space="preserve">افزایش «فروش خالص تعدادی قطعات آپشن»</t>
  </si>
  <si>
    <t xml:space="preserve">P-32-00</t>
  </si>
  <si>
    <t xml:space="preserve">M13-1-K4</t>
  </si>
  <si>
    <t xml:space="preserve">افزایش «فروش ریالی خالص قطعات آپشن (OEM افلاین اختیاری)»</t>
  </si>
  <si>
    <t xml:space="preserve">P-29-00</t>
  </si>
  <si>
    <t xml:space="preserve">M13-2</t>
  </si>
  <si>
    <t xml:space="preserve">هدف: بهبود سودآوری و ساختار هزینه‌ی قطعات آپشن</t>
  </si>
  <si>
    <t xml:space="preserve">D4-2 — ارتقای سودآوری و رضایت در بسته خدمت و آپشن</t>
  </si>
  <si>
    <t xml:space="preserve">S2: بهبود سودآوری و ساختار هزینه قطعات آپشن</t>
  </si>
  <si>
    <t xml:space="preserve">C1 قیمت مناسب نسبت به شبکه و بازار (از شاخص KR)
F1 سود عملیاتی آپشن (از شاخص KR)</t>
  </si>
  <si>
    <t xml:space="preserve">M13-2-K1</t>
  </si>
  <si>
    <t xml:space="preserve">ارتقای «حاشیه سود ناخالص قطعات آپشن»</t>
  </si>
  <si>
    <t xml:space="preserve">SP-27-01</t>
  </si>
  <si>
    <t xml:space="preserve">M13-2-K2</t>
  </si>
  <si>
    <t xml:space="preserve">ارائه ۴ گزارش فصلی تحلیل ساختار هزینه‌ی قطعات آپشن</t>
  </si>
  <si>
    <t xml:space="preserve">M13-3</t>
  </si>
  <si>
    <t xml:space="preserve">هدف: R&amp;D محصولات اختصاصی، پایداری تأمین و خدمات مبتنی بر داده</t>
  </si>
  <si>
    <t xml:space="preserve">S3: توسعه محصولات و قطعات اختصاصی آپشن بر پایه ایده پردازی و نیازسنجی بازار(R&amp;D)
S4: مدیریت و تضمین پایداری زنجیره تامین قطعات آپشن
S7: توسعه خدمات و محصولات مبتنی بر اتصال و داده</t>
  </si>
  <si>
    <t xml:space="preserve">F1 سود عملیاتی آپشن (financial; کسب و کار آپشن)
F2 استراتژی بهره‌وری (financial; کسب و کار آپشن)
F6 درآمد قطعات و اپلیکیشن‌های اختصاصی آپشن (financial; کسب و کار آپشن)
P5 ارائه خدمات سفارشی‌سازی‌شده (از شاخص KR)
P2 توسعه قطعات اختصاصی و قطعات اصلی پلتفرم ارتباطی (از شاخص KR)</t>
  </si>
  <si>
    <t xml:space="preserve">M13-3-K1</t>
  </si>
  <si>
    <t xml:space="preserve">ارتقای «تأمین به موقع قطعات آپشن طبق MRP»</t>
  </si>
  <si>
    <t xml:space="preserve">c-261-13</t>
  </si>
  <si>
    <t xml:space="preserve">M13-3-K2</t>
  </si>
  <si>
    <t xml:space="preserve">افزایش «میزان ریالی تامین قطعات آپشن»</t>
  </si>
  <si>
    <t xml:space="preserve">C-265-03</t>
  </si>
  <si>
    <t xml:space="preserve">پیشنهادی: بیشینهٔ «۱۰٪ رشد نسبت به واقعی ۱۴۰۴»، «هدف تجمعی ثبت‌شده ۱۴۰۵ × ۲» و «روند عملکرد ۱۴۰۵ × ۲» (فرض: داده‌ها ۶ماهه) | سقف ۲ برابر مبنا اعمال شد (محاسبه‌ی خام: 9211)</t>
  </si>
  <si>
    <t xml:space="preserve">M13-3-K3</t>
  </si>
  <si>
    <t xml:space="preserve">عرضه‌ی حداقل ۳ محصول/قطعه‌ی اختصاصی جدید آپشن</t>
  </si>
  <si>
    <t xml:space="preserve">M13-3-K4</t>
  </si>
  <si>
    <t xml:space="preserve">راه‌اندازی ۱ محصول/خدمت مبتنی بر اتصال و داده (پایلوت)</t>
  </si>
  <si>
    <t xml:space="preserve">M13-4</t>
  </si>
  <si>
    <t xml:space="preserve">هدف: بهبود تجربه مشتری و کیفیت نصب/خدمات پس از فروش آپشن</t>
  </si>
  <si>
    <t xml:space="preserve">S6: بهبود تجربه مشتری و کیفیت نصب/خدمات پس از فروش آپشن</t>
  </si>
  <si>
    <t xml:space="preserve">C5 رشد سریع مشتریان (customer; کسب و کار آپشن)
F5 درآمد حاصل از مشتریان جدید (financial; کسب و کار آپشن)
C3 تنوع خدمات مکمل و جانبی (از شاخص KR)
C1 تنوع قطعات جانبی و اپلیکیشن‌ها (از شاخص KR)
P1 نصب آسان قطعات جانبی در پلتفرم با سرعت و راحتی بالا (از شاخص KR)
C4 باورمندی به استفاده وسیع از پلتفرم ارتباطی و مولتی‌مدیا (از شاخص KR)
C6 وفادارسازی مشتریان (از شاخص KR)</t>
  </si>
  <si>
    <t xml:space="preserve">M13-4-K1</t>
  </si>
  <si>
    <t xml:space="preserve">M13-4-K2</t>
  </si>
  <si>
    <t xml:space="preserve">ارتقای «رضایت مشتریان از قطعات آپشن (کیفیت قطعات)»</t>
  </si>
  <si>
    <t xml:space="preserve">P-214-01</t>
  </si>
  <si>
    <t xml:space="preserve">M13-4-K3</t>
  </si>
  <si>
    <t xml:space="preserve">ارتقای «رضایت مشتریان از خدمات و قطعات آپشن»</t>
  </si>
  <si>
    <t xml:space="preserve">P-214-02</t>
  </si>
  <si>
    <t xml:space="preserve">14. مدیریت بازاریابی   |   معاونت توسعه کسب‌وکار و بازار</t>
  </si>
  <si>
    <t xml:space="preserve">M14-1</t>
  </si>
  <si>
    <t xml:space="preserve">مدیریت بازاریابی</t>
  </si>
  <si>
    <t xml:space="preserve">هدف: توسعه کمی و کیفی عاملیت‌ها و کانال‌های فروش و پشتیبانی از آن‌ها</t>
  </si>
  <si>
    <t xml:space="preserve">S1: توسعه کمی و کیفی عاملیتهای فروش قطعات
S2: توسعه کانال های فروش قطعات یدکی
S7: پشتیبانی و توانمندسازی شبکه عاملیت های فروش</t>
  </si>
  <si>
    <t xml:space="preserve">P13 استفاده از تجربه مشتری (process; کسب و کار بازرگانی قطعات)
P8 استفاده از تجربه مشتری (process; کسب و کار بسته خدمت)
P10 توسعه کسب‌وکار شبکه (از شاخص KR)
C3 کانال توزیع مناسب در بازارهای داخلی با دسترسی آسان به پلتفرم (از شاخص KR)
P11 بازنگری وظایف عوامل فروش (از شاخص KR)
C3 دسترسی آسان به پلتفرم ارتباطی و مولتی‌مدیا تا فروش (از شاخص KR)
C5 رشد سریع فروشگاه‌ها، تعمیرگاه‌ها و مشتریان بزرگ (از شاخص KR)</t>
  </si>
  <si>
    <t xml:space="preserve">M14-1-K1</t>
  </si>
  <si>
    <t xml:space="preserve">افزایش «توسعه عاملیت های فروش قطعات (مصوبه دار)»</t>
  </si>
  <si>
    <t xml:space="preserve">C-259-00</t>
  </si>
  <si>
    <t xml:space="preserve">M14-1-K2</t>
  </si>
  <si>
    <t xml:space="preserve">M14-1-K3</t>
  </si>
  <si>
    <t xml:space="preserve">استقرار مدل ارزیابی عملکرد عاملیت‌ها در ۱۰۰٪ عاملیت‌های فعال</t>
  </si>
  <si>
    <t xml:space="preserve">M14-1-K4</t>
  </si>
  <si>
    <t xml:space="preserve">اجرای ۱۰۰٪ طرح‌های تشویقی/پشتیبانی فروش مصوب</t>
  </si>
  <si>
    <t xml:space="preserve">M14-2</t>
  </si>
  <si>
    <t xml:space="preserve">هدف: توسعه سهم بازار با تحقیقات بازار و قیمت‌گذاری هوشمند</t>
  </si>
  <si>
    <t xml:space="preserve">S5: استقرار نظام تحقیقات بازار قطعات یدکی جهت رصد مستمر قیمت، رقبا و محاسبه سهم بازار
S6: طراحی و اجرای مدل قیمت گذاری هوشمند و پویا قطعات یدکی متناسب با تحولات اقتصادی و رقابتی بازار
S8: توسعه سهم بازار قطعات یدکی</t>
  </si>
  <si>
    <t xml:space="preserve">L3 مدیریت دانش (learning; کسب و کار بازرگانی قطعات)
P20 قیمت‌گذاری هوشمند و پویا (process; کسب و کار بازرگانی قطعات)
F6 افزایش سهم در سبد خرید مشتری (از شاخص KR)
F8 تقویت ارزشی مشتری (از شاخص KR)
F3 استراتژی رشد (از شاخص KR)
C6 وفاداری مشتریان با خریدهای بزرگ (از شاخص KR)
C1 قیمت مناسب نسبت به شبکه و بازار (از شاخص KR)
C1 تعیین‌کننده قطعه با حداقل هزینه و تضمین‌شده کیفیت (از شاخص KR)</t>
  </si>
  <si>
    <t xml:space="preserve">M14-2-K1</t>
  </si>
  <si>
    <t xml:space="preserve">M14-2-K2</t>
  </si>
  <si>
    <t xml:space="preserve">M14-2-K3</t>
  </si>
  <si>
    <t xml:space="preserve">اجرای حداقل ۴ گزارش فصلی قیمت و سهم بازار</t>
  </si>
  <si>
    <t xml:space="preserve">M14-2-K4</t>
  </si>
  <si>
    <t xml:space="preserve">اجرای مدل قیمت‌گذاری پویا برای حداقل ۳ گروه کالایی</t>
  </si>
  <si>
    <t xml:space="preserve">M14-3</t>
  </si>
  <si>
    <t xml:space="preserve">هدف: شناسایی زودهنگام ریسک تأمین و مستندسازی دانش بازار</t>
  </si>
  <si>
    <t xml:space="preserve">S3: شناسایی زودهنگام قطعات دارای ریسک تأمین
S4: مستندسازی و تبدیل داده و تجربه به دانش</t>
  </si>
  <si>
    <t xml:space="preserve">M14-3-K1</t>
  </si>
  <si>
    <t xml:space="preserve">شناسایی و اعلام زودهنگام حداقل ۹۰٪ قطعات پرریسک تأمین حداقل ۳۰ روز قبل</t>
  </si>
  <si>
    <t xml:space="preserve">M14-3-K2</t>
  </si>
  <si>
    <t xml:space="preserve">مستندسازی حداقل ۱۰ تجربه/تحلیل بازار در سامانه دانش</t>
  </si>
  <si>
    <t xml:space="preserve">15. مدیریت بازرگانی خدمات   |   معاونت توسعه کسب‌وکار و بازار</t>
  </si>
  <si>
    <t xml:space="preserve">M15-1</t>
  </si>
  <si>
    <t xml:space="preserve">مدیریت بازرگانی خدمات</t>
  </si>
  <si>
    <t xml:space="preserve">هدف: استقرار شناخت نیاز مشتری، تحقیقات بازار و پایش اثربخشی فروش خدمات</t>
  </si>
  <si>
    <t xml:space="preserve">S1: استقرار نظام مستمر شناسایی و تحلیل نیازها و انتظارات مشتریان
S2: استقرار نظام تحقیقات بازار و پایش مستمر بازار خدمات خودرو و رصد رقبا، روندهای بازار، رفتار مشتری و فرصت های خدماتی و تحلیل و بهینه سازی قیمت گذاری
S3: توسعه نظام پایش و اثربخشی فروش و بازار خدمات و شناسایی انحرافات، علل کاهش فروش و اقدامات اصلاحی</t>
  </si>
  <si>
    <t xml:space="preserve">C2 خدمات باکیفیت (از شاخص KR)
C3 کیفیت بالا و ثبات (از شاخص KR)
P8 توجه به نیازها و انتظارات کسب‌وکار و بسته خدمت (از شاخص KR)
C1 خدمات باکیفیت (از شاخص KR)</t>
  </si>
  <si>
    <t xml:space="preserve">M15-1-K1</t>
  </si>
  <si>
    <t xml:space="preserve">ارتقای «رضایت مشتریان از بسته خدمت»</t>
  </si>
  <si>
    <t xml:space="preserve">S-20-00</t>
  </si>
  <si>
    <t xml:space="preserve">M15-1-K2</t>
  </si>
  <si>
    <t xml:space="preserve">ارائه حداقل ۴ گزارش فصلی تحلیل بازار خدمات و رقبا</t>
  </si>
  <si>
    <t xml:space="preserve">M15-1-K3</t>
  </si>
  <si>
    <t xml:space="preserve">تحلیل انحراف فروش و اقدام اصلاحی ماهانه (۱۲ گزارش)</t>
  </si>
  <si>
    <t xml:space="preserve">M15-2</t>
  </si>
  <si>
    <t xml:space="preserve">هدف: رشد فروش و تمدید بسته‌های خدمت با آموزش شبکه و بهینه‌سازی ظرفیت</t>
  </si>
  <si>
    <t xml:space="preserve">S4: برنامه ریزی و هدف گذاری فروش،آموزش مستمر و تبلیغات در شبکه فروش نمایندگی ها
S6: بهینه سازی ظرفیت و قابلیت ارائه خدمات متناسب با تقاضای بازار و هماهنگی توسعه خدمات با توان شبکه و ظرفیت عملیاتی</t>
  </si>
  <si>
    <t xml:space="preserve">F3 استراتژی رشد (financial; کسب و کار آپشن)
F3 استراتژی رشد (financial; کسب و کار بازرگانی قطعات)
F3 استراتژی رشد (financial; کسب و کار بسته خدمت)
F3 استراتژی رشد (financial; کسب و کار گارانتی خودرو)
F7 افزایش سهم از هزینه‌های خودروی مشتری (financial; کسب و کار خدمات تعمیراتی)
F8 افزایش درآمد حاصل از مشتریان جدید (financial; کسب و کار خدمات تعمیراتی)
C5 تنوع‌بخشی در خدمات گارانتی تکمیلی و مازاد (از شاخص KR)
C5 حداکثرسازی سودآوری مشتری در دوره حضور (از شاخص KR)
C5 سودآوری مشتری در دوره حضور (از شاخص KR)</t>
  </si>
  <si>
    <t xml:space="preserve">M15-2-K1</t>
  </si>
  <si>
    <t xml:space="preserve">M15-2-K2</t>
  </si>
  <si>
    <t xml:space="preserve">افزایش «فروش خالص تعدادی کارت طلایی»</t>
  </si>
  <si>
    <t xml:space="preserve">S-43-00</t>
  </si>
  <si>
    <t xml:space="preserve">M15-2-K3</t>
  </si>
  <si>
    <t xml:space="preserve">M15-2-K4</t>
  </si>
  <si>
    <t xml:space="preserve">ارتقای «تمدید بسته خدمت (خودرو نو)»</t>
  </si>
  <si>
    <t xml:space="preserve">S-68-02</t>
  </si>
  <si>
    <t xml:space="preserve">M15-3</t>
  </si>
  <si>
    <t xml:space="preserve">هدف: بهبود حاشیه‌ی سود بسته خدمت و رضایت نمایندگی‌ها</t>
  </si>
  <si>
    <t xml:space="preserve">S5: بهینه سازی قراردادها و آنالیز قیمت خدمات جهت بهبود حاشیه سود ناخالص بسته خدمت</t>
  </si>
  <si>
    <t xml:space="preserve">F1 سود عملیاتی بسته خدمت (financial; کسب و کار بسته خدمت)
F4 خرید خدمات با حداقل قیمت (financial; کسب و کار بسته خدمت)
F5 استفاده حداکثری از ظرفیت‌های سازمان و شبکه (financial; کسب و کار بسته خدمت)
C2 خدمات باکیفیت (از شاخص KR)
P8 توجه به نیازها و انتظارات کسب‌وکار و بسته خدمت (از شاخص KR)
F3 استراتژی رشد (از شاخص KR)
F7 توسعه درآمد گارانتی‌های تکمیلی و مازاد (از شاخص KR)
C5 تنوع‌بخشی در خدمات گارانتی تکمیلی و مازاد (از شاخص KR)</t>
  </si>
  <si>
    <t xml:space="preserve">M15-3-K1</t>
  </si>
  <si>
    <t xml:space="preserve">M15-3-K2</t>
  </si>
  <si>
    <t xml:space="preserve">ارتقای «رضایت نمایندگی ها از فرایند بسته خدمت (DSI)»</t>
  </si>
  <si>
    <t xml:space="preserve">N-109-00</t>
  </si>
  <si>
    <t xml:space="preserve">M15-3-K3</t>
  </si>
  <si>
    <t xml:space="preserve">افزایش «فروش خالص ریالی کارت طلایی (اختیاری نو)»</t>
  </si>
  <si>
    <t xml:space="preserve">S-41-00</t>
  </si>
  <si>
    <t xml:space="preserve">16. مدیریت توسعه روشهای فروش نوین و آنلاین   |   معاونت توسعه کسب‌وکار و بازار</t>
  </si>
  <si>
    <t xml:space="preserve">M16-1</t>
  </si>
  <si>
    <t xml:space="preserve">مدیریت توسعه روشهای فروش نوین و آنلاین</t>
  </si>
  <si>
    <t xml:space="preserve">هدف: استقرار نظام هوشمند فروش، CRM و بازاریابی داده‌محور</t>
  </si>
  <si>
    <t xml:space="preserve">D4-3 — شکل‌گیری کسب‌وکار فروش آنلاین و واسطه‌گری</t>
  </si>
  <si>
    <t xml:space="preserve">S1: استقرار نظام هوشمند فروش، مدیریت ارتباط با مشتری و بازاریابی داده محور
S3: استقرار نظام پایش عملکرد، ارزیابی رقبا و توسعه مرحله ای روش های فروش
S7: طراحی فرآیند نگهداشت مشتریان وفادار و تحلیل رفتار کاربران</t>
  </si>
  <si>
    <t xml:space="preserve">C5 رشد سریع مشتریان (customer; کسب و کار آپشن)
C6 وفادارسازی مشتریان (customer; کسب و کار آپشن)
C6 وفاداری مشتریان با خریدهای بزرگ (customer; کسب و کار بازرگانی قطعات)
F5 درآمد حاصل از مشتریان جدید (financial; کسب و کار آپشن)</t>
  </si>
  <si>
    <t xml:space="preserve">M16-1-K1</t>
  </si>
  <si>
    <t xml:space="preserve">استقرار پایلوت CRM/بازاریابی داده‌محور (۱ پایلوت عملیاتی)</t>
  </si>
  <si>
    <t xml:space="preserve">M16-1-K2</t>
  </si>
  <si>
    <t xml:space="preserve">گزارش ماهانه‌ی تحلیل رفتار کاربران و عملکرد کانال‌ها (۱۰۰٪ ماه‌ها)</t>
  </si>
  <si>
    <t xml:space="preserve">M16-2</t>
  </si>
  <si>
    <t xml:space="preserve">هدف: اعتماد، اصالت، شفافیت و تجربه‌ی مشتری در فروش آنلاین</t>
  </si>
  <si>
    <t xml:space="preserve">S2: ایجاد نظام اعتماد،اصالت، شفافیت و تجربه مشتری در فروش آنلاین</t>
  </si>
  <si>
    <t xml:space="preserve">M16-2-K1</t>
  </si>
  <si>
    <t xml:space="preserve">رضایت خریداران آنلاین حداقل ۸۰٪</t>
  </si>
  <si>
    <t xml:space="preserve">M16-2-K2</t>
  </si>
  <si>
    <t xml:space="preserve">پاسخ‌گویی به ۱۰۰٪ شکایات خرید آنلاین حداکثر ۴۸ ساعت</t>
  </si>
  <si>
    <t xml:space="preserve">M16-3</t>
  </si>
  <si>
    <t xml:space="preserve">هدف: توسعه فروش واسطه‌گری: کانال، فروشندگان و تنوع اقلام</t>
  </si>
  <si>
    <t xml:space="preserve">S4: طراحی و توسعه کانال های فروش آنلاین و مدل های تجارت الکترونیک واسطه گری جهت افزایش فروش سایپایدک
S5: جذب و توسعه شبکه فروشندگان، تامین کنندگان و توزیع کنندگان در سیستم فروش واسطه گری
S6: افزایش تنوع اقلام قابل ارائه در پلتفرم فروش واسطه گری جهت پاسخگویی گسترده تر به نیاز مشتریان</t>
  </si>
  <si>
    <t xml:space="preserve">C1 تنوع قطعات جانبی و اپلیکیشن‌ها (customer; کسب و کار آپشن)
C1 تنوع قطعات و مارک‌ها (customer; کسب و کار بازرگانی قطعات)
F3 استراتژی رشد (financial; کسب و کار آپشن)
F3 استراتژی رشد (financial; کسب و کار بازرگانی قطعات)
F3 استراتژی رشد (financial; کسب و کار بسته خدمت)
F3 استراتژی رشد (financial; کسب و کار گارانتی خودرو)
F7 درآمد اتصال تکمیل‌کنندگان به پلتفرم‌ها (financial; کسب و کار آپشن)
P10 کاهش هزینه جستجوی مشتری (process; کسب و کار بازرگانی قطعات)
P8 هم‌افزایی تولیدکنندگان گروه (process; کسب و کار بازرگانی قطعات)
F6 افزایش سهم در سبد خرید مشتری (از شاخص KR)
C2 نوآوری در پلتفرم ثابت (از شاخص KR)
P17 توسعه کانال توزیع اینترنتی قطعات یکپارچه (از شاخص KR)
P3 خلق شبکه‌ای از تأمین‌کنندگان خدمت (از شاخص KR)
P14 توسعه راه‌های جدید و کاربرد بسته‌های خدمت (از شاخص KR)</t>
  </si>
  <si>
    <t xml:space="preserve">M16-3-K1</t>
  </si>
  <si>
    <t xml:space="preserve">افزایش «میزان فروش حاصل از واسطه گری»</t>
  </si>
  <si>
    <t xml:space="preserve">C-01-33</t>
  </si>
  <si>
    <t xml:space="preserve">نیازمند تعیین</t>
  </si>
  <si>
    <t xml:space="preserve">پیشنهادی</t>
  </si>
  <si>
    <t xml:space="preserve">داده‌ی کافی برای هدف‌گذاری وجود ندارد؛ شاخص در سیستم بدون داده (همه مقادیر صفر)</t>
  </si>
  <si>
    <t xml:space="preserve">M16-3-K2</t>
  </si>
  <si>
    <t xml:space="preserve">M16-3-K3</t>
  </si>
  <si>
    <t xml:space="preserve">M16-3-K4</t>
  </si>
  <si>
    <t xml:space="preserve">M16-4</t>
  </si>
  <si>
    <t xml:space="preserve">هدف: بازاریابی دیجیتال و ارتقای شبکه فروشندگان</t>
  </si>
  <si>
    <t xml:space="preserve">S8: طراحی و اجرای کمپین های بازاریابی دیجیتال و ارتقای شبکه فروشندگان</t>
  </si>
  <si>
    <t xml:space="preserve">C1 قیمت مناسب نسبت به شبکه و بازار (customer; کسب و کار بسته خدمت)
C3 کانال توزیع مناسب در بازارهای داخلی با دسترسی آسان به پلتفرم (customer; کسب و کار بازرگانی قطعات)</t>
  </si>
  <si>
    <t xml:space="preserve">M16-4-K1</t>
  </si>
  <si>
    <t xml:space="preserve">اجرای حداقل ۴ کمپین بازاریابی دیجیتال با گزارش نتایج</t>
  </si>
  <si>
    <t xml:space="preserve">M16-4-K2</t>
  </si>
  <si>
    <t xml:space="preserve">تحقق حداقل ۹۵٪ برنامه‌ی اجرایی/بودجه‌ی ۱۴۰۵ مرتبط با این هدف (گزارش ماهانه به معاون)</t>
  </si>
  <si>
    <t xml:space="preserve">KR عمومی جایگزین — برای بهبود دقت، شاخص اختصاصی تعریف شود</t>
  </si>
  <si>
    <t xml:space="preserve">17. مدیریت بازرگانی بدنه و ملزومات بسته‌بندی   |   معاونت بازرگانی قطعات</t>
  </si>
  <si>
    <t xml:space="preserve">M17-1</t>
  </si>
  <si>
    <t xml:space="preserve">مدیریت بازرگانی بدنه و ملزومات بسته‌بندی</t>
  </si>
  <si>
    <t xml:space="preserve">هدف: تأمین پایدار قطعات بدنه و بهینه‌سازی موجودی</t>
  </si>
  <si>
    <t xml:space="preserve">D5-1 — تأمین به‌موقع و مطمئن قطعات داخلی و خارجی طبق MRP</t>
  </si>
  <si>
    <t xml:space="preserve">S1: تأمین پایدار و مدیریت ریسک زنجیره تأمین قطعات بدنه
S3: بهینه سازی موجودی و کاهش سرمایه در گردش ملزومات و قطعات</t>
  </si>
  <si>
    <t xml:space="preserve">M17-1-K1</t>
  </si>
  <si>
    <t xml:space="preserve">تأمین حداقل ۸۵٪ اقلام بدنه طبق MRP (به‌موقع)</t>
  </si>
  <si>
    <t xml:space="preserve">M17-1-K2</t>
  </si>
  <si>
    <t xml:space="preserve">کاهش سرمایه در گردش موجودی ملزومات/قطعات بدنه نسبت به مبنای ۱۴۰۴</t>
  </si>
  <si>
    <t xml:space="preserve">M17-2</t>
  </si>
  <si>
    <t xml:space="preserve">هدف: فروش هدفمند و تعیین تکلیف اقلام راکد بدنه</t>
  </si>
  <si>
    <t xml:space="preserve">D5-2 — افزایش فروش و سودآوری قطعات بازرگانی</t>
  </si>
  <si>
    <t xml:space="preserve">S2: فروش هدفمند و تعیین تکلیف اقلام راکد قطعات بدنه</t>
  </si>
  <si>
    <t xml:space="preserve">M17-2-K1</t>
  </si>
  <si>
    <t xml:space="preserve">افزایش «میزان ریالی فروش قطعات یدکی بازرگانی برند یک (بدنه و ملزومات بسته بندی)»</t>
  </si>
  <si>
    <t xml:space="preserve">C-01-37</t>
  </si>
  <si>
    <t xml:space="preserve">M17-2-K2</t>
  </si>
  <si>
    <t xml:space="preserve">افزایش «سود ناخالص قطعات بازرگانی (بدنه)»</t>
  </si>
  <si>
    <t xml:space="preserve">SP-22-04</t>
  </si>
  <si>
    <t xml:space="preserve">M17-2-K3</t>
  </si>
  <si>
    <t xml:space="preserve">تعیین تکلیف حداقل ۸۰٪ قطعات راکد بدنه</t>
  </si>
  <si>
    <t xml:space="preserve">M17-2-K4</t>
  </si>
  <si>
    <t xml:space="preserve">M17-3</t>
  </si>
  <si>
    <t xml:space="preserve">هدف: بسته‌بندی از مبدأ، لجستیک داخلی و کیفیت رنگ‌آمیزی</t>
  </si>
  <si>
    <t xml:space="preserve">S4: توسعه بسته بندی از مبدأ و لجستیک داخلی کارآمد
S5: نظارت بر فرآیند رنگ آمیزی و پوشش قطعات بدنه نزد پیمانکاران جهت تضمین کیفیت و کاهش قطعات ضایعاتی</t>
  </si>
  <si>
    <t xml:space="preserve">F3 بیزینس یونیت شدن کسب‌وکار تعمیرگاه مرکزی (financial; کسب و کار خدمات تعمیراتی)
P3 هزینه حداقلی در انبارداری، بسته‌بندی و حمل قطعات گارانتی (از شاخص KR)</t>
  </si>
  <si>
    <t xml:space="preserve">M17-3-K1</t>
  </si>
  <si>
    <t xml:space="preserve">کاهش «نسبت قطعات فاقد ملزوم برای بسته بندی به کل قطعات»</t>
  </si>
  <si>
    <t xml:space="preserve">MT-01-01</t>
  </si>
  <si>
    <t xml:space="preserve">M17-3-K2</t>
  </si>
  <si>
    <t xml:space="preserve">کاهش ضایعات رنگ‌آمیزی/پوشش نزد پیمانکاران به حداکثر ۲٪</t>
  </si>
  <si>
    <t xml:space="preserve">18. مدیریت بازرگانی تزئینات و تعلیق   |   معاونت بازرگانی قطعات</t>
  </si>
  <si>
    <t xml:space="preserve">M18-1</t>
  </si>
  <si>
    <t xml:space="preserve">مدیریت بازرگانی تزئینات و تعلیق</t>
  </si>
  <si>
    <t xml:space="preserve">هدف: شناسایی منابع جدید و تأمین بهینه‌ی قطعات تزئینات و تعلیق</t>
  </si>
  <si>
    <t xml:space="preserve">S1: شناسایی و ارزیابی منابع جدید تامین قطعات
S2: تامین بهینه قطعات تزئینات و تعلیق مبتنی بر MRP با مدیریت زنجیره تامین گروه و غیرگروه</t>
  </si>
  <si>
    <t xml:space="preserve">P5 تامین بر اساس MRP (process; کسب و کار بازرگانی قطعات)</t>
  </si>
  <si>
    <t xml:space="preserve">M18-1-K1</t>
  </si>
  <si>
    <t xml:space="preserve">افزایش «میزان ریالی تامین قطعات یدکی بازرگانی برند یک (تزئینات و تعلیق)»</t>
  </si>
  <si>
    <t xml:space="preserve">C-258-12</t>
  </si>
  <si>
    <t xml:space="preserve">M18-1-K2</t>
  </si>
  <si>
    <t xml:space="preserve">شناسایی و ارزیابی حداقل ۲ منبع جدید تأمین</t>
  </si>
  <si>
    <t xml:space="preserve">M18-1-K3</t>
  </si>
  <si>
    <t xml:space="preserve">M18-2</t>
  </si>
  <si>
    <t xml:space="preserve">هدف: تحلیل قیمت، کنترل هزینه خرید و قراردادها</t>
  </si>
  <si>
    <t xml:space="preserve">S4: تحلیل قیمت خرید و تمام شده قطعات
S6: کنترل هزینه های خرید و کاهش ریسک زنجیره های تامین .
S7: کنترل و تنظیم قرار داد های خرید.</t>
  </si>
  <si>
    <t xml:space="preserve">M18-2-K1</t>
  </si>
  <si>
    <t xml:space="preserve">افزایش «سود ناخالص قطعات بازرگانی (تزئینات)»</t>
  </si>
  <si>
    <t xml:space="preserve">SP-22-03</t>
  </si>
  <si>
    <t xml:space="preserve">M18-2-K2</t>
  </si>
  <si>
    <t xml:space="preserve">تحلیل قیمت خرید/تمام‌شده برای ۱۰۰٪ گروه‌های کالایی تحت پوشش</t>
  </si>
  <si>
    <t xml:space="preserve">M18-2-K3</t>
  </si>
  <si>
    <t xml:space="preserve">بازنگری و تنظیم ۱۰۰٪ قراردادهای خرید سررسیدشده</t>
  </si>
  <si>
    <t xml:space="preserve">M18-3</t>
  </si>
  <si>
    <t xml:space="preserve">هدف: توسعه‌ی فروش و رفع مغایرت‌ها و پیگیری مطالبات تأمین‌کنندگان</t>
  </si>
  <si>
    <t xml:space="preserve">S3: توسعه فروش قطعات تزئینات و تعلیق از طریق فروشگاه اینترنتی و تبلیغات هدفمند شبکه
S5: مدیریت اجرایی رفع مغایرت های کمی و کیفی قطعات دریافتی و پیگیری مطالبات مالی تامین کنندگان</t>
  </si>
  <si>
    <t xml:space="preserve">F4 کاهش هزینه کلیم (financial; کسب و کار گارانتی خودرو)
P11 نوآوری در فرآیند توسعه و کنترل شبکه و کلیم (process; کسب و کار گارانتی خودرو)
P17 توسعه کانال توزیع اینترنتی قطعات یکپارچه (process; کسب و کار بازرگانی قطعات)
P5 شراکت و روابط بلندمدت با تامین‌کننده قطعه و خدمت (process; کسب و کار گارانتی خودرو)</t>
  </si>
  <si>
    <t xml:space="preserve">M18-3-K1</t>
  </si>
  <si>
    <t xml:space="preserve">افزایش «میزان ریالی فروش قطعات یدکی بازرگانی برند یک (تزئینات و تعلیق)»</t>
  </si>
  <si>
    <t xml:space="preserve">C-01-36</t>
  </si>
  <si>
    <t xml:space="preserve">M18-3-K2</t>
  </si>
  <si>
    <t xml:space="preserve">رشد فروش فروشگاه اینترنتی این گروه نسبت به ۱۴۰۴</t>
  </si>
  <si>
    <t xml:space="preserve">M18-3-K3</t>
  </si>
  <si>
    <t xml:space="preserve">رفع حداقل ۹۰٪ مغایرت‌های دریافتی حداکثر ۳۰ روز</t>
  </si>
  <si>
    <t xml:space="preserve">19. مدیریت بازرگانی خارجی   |   معاونت بازرگانی قطعات</t>
  </si>
  <si>
    <t xml:space="preserve">M19-1</t>
  </si>
  <si>
    <t xml:space="preserve">مدیریت بازرگانی خارجی</t>
  </si>
  <si>
    <t xml:space="preserve">هدف: تنوع‌بخشی منابع و تأمین به‌موقع قطعات وارداتی</t>
  </si>
  <si>
    <t xml:space="preserve">S4: توسعه و تنوع بخشی منابع تامین خارجی قطعات یدکی با کشف قیمت مطلوب و مدیریت ریسک زنجیره تامین</t>
  </si>
  <si>
    <t xml:space="preserve">P4 تامین به‌موقع و باکیفیت قطعات با حداقل قیمت (process; کسب و کار خدمات تعمیراتی)
P5 تامین بر اساس MRP (process; کسب و کار بازرگانی قطعات)
P7 حداکثرسازی MarkUp و LaborRate خارجی (process; کسب و کار گارانتی خودرو)
P2 کیفیت توافق‌شده خدمات با تأمین‌کنندگان (از شاخص KR)</t>
  </si>
  <si>
    <t xml:space="preserve">M19-1-K1</t>
  </si>
  <si>
    <t xml:space="preserve">M19-1-K2</t>
  </si>
  <si>
    <t xml:space="preserve">M19-1-K3</t>
  </si>
  <si>
    <t xml:space="preserve">افزایش «تامین ریالی قطعات یدکی برند یک طبق MRP -خارج»</t>
  </si>
  <si>
    <t xml:space="preserve">C-261-02</t>
  </si>
  <si>
    <t xml:space="preserve">M19-2</t>
  </si>
  <si>
    <t xml:space="preserve">هدف: توسعه بازارهای صادراتی فعلی و جدید و پشتیبانی از نمایندگی‌های خارج</t>
  </si>
  <si>
    <t xml:space="preserve">D5-3 — توسعه صادرات و تنوع منابع تأمین</t>
  </si>
  <si>
    <t xml:space="preserve">S2: ارتقاء سهم بازار قطعات یدکی صادراتی در بازارهای صادراتی فعلی
S3: احیاء و توسعه بازارهای صادراتی جدید
S5: پشتیبانی فنی و مالی نمایندگی های خدمات پس از فروش خارج از کشور جهت حداکثرسازی نرخ کارمزد و دستمزد</t>
  </si>
  <si>
    <t xml:space="preserve">P7 حداکثرسازی MarkUp و LaborRate خارجی (process; کسب و کار گارانتی خودرو)
F7 افزایش درآمد ناشی از مشتریان جدید (از شاخص KR)
F5 درآمد حاصل از مشتریان جدید (از شاخص KR)</t>
  </si>
  <si>
    <t xml:space="preserve">M19-2-K1</t>
  </si>
  <si>
    <t xml:space="preserve">M19-2-K2</t>
  </si>
  <si>
    <t xml:space="preserve">افزایش «درخواستهای اخذ شده از بازارهای صادراتی»</t>
  </si>
  <si>
    <t xml:space="preserve">E-01-03</t>
  </si>
  <si>
    <t xml:space="preserve">M19-2-K3</t>
  </si>
  <si>
    <t xml:space="preserve">M19-3</t>
  </si>
  <si>
    <t xml:space="preserve">هدف: اعتماد شرکای خارجی، ترخیص و عملیات مالی/ارزی</t>
  </si>
  <si>
    <t xml:space="preserve">S1: جلب اعتماد طرفهای تجاری و تداوم همکاری با شرکای خارجی
S6: مدیریت ترخیص و لجستیک واردات قطعات خارجی از گمرک با کنترل هزینه های حمل و بیمه محموله
S7: مدیریت عملیات مالی و ارزی نمایندگی های خارج از کشور شامل تامین مالی، تسویه ارز و انتقال وجوه</t>
  </si>
  <si>
    <t xml:space="preserve">F7 درآمد اتصال قطعه‌سازان و واردکنندگان به شبکه و مشتری (financial; کسب و کار بازرگانی قطعات)
P1 طراحی مدل توزیع منابع مالی (process; کسب و کار بازرگانی قطعات)
P4 مدیریت ریسک مالی (process; کسب و کار گارانتی خودرو)
P7 جذب/حفظ تولیدکنندگان و واردکنندگان قطعات (process; کسب و کار بازرگانی قطعات)
P9 خدمات و مزایا به تولیدکنندگان و واردکنندگان قطعات (process; کسب و کار بازرگانی قطعات)</t>
  </si>
  <si>
    <t xml:space="preserve">M19-3-K1</t>
  </si>
  <si>
    <t xml:space="preserve">رضایت شرکای تجاری خارجی (نظرسنجی سالانه) حداقل ۸۰٪</t>
  </si>
  <si>
    <t xml:space="preserve">M19-3-K2</t>
  </si>
  <si>
    <t xml:space="preserve">کاهش میانگین زمان ترخیص گمرکی نسبت به مبنای ۱۴۰۴</t>
  </si>
  <si>
    <t xml:space="preserve">M19-3-K3</t>
  </si>
  <si>
    <t xml:space="preserve">تسویه ارز و انتقال وجوه نمایندگی‌های خارج کشور در سررسید</t>
  </si>
  <si>
    <t xml:space="preserve">20. مدیریت بازرگانی قوای محرکه غیرگروه   |   معاونت بازرگانی قطعات</t>
  </si>
  <si>
    <t xml:space="preserve">M20-1</t>
  </si>
  <si>
    <t xml:space="preserve">مدیریت بازرگانی قوای محرکه غیرگروه</t>
  </si>
  <si>
    <t xml:space="preserve">هدف: تأمین چندمنبعی بهینه‌ی قطعات قوای محرکه‌ی غیرگروه</t>
  </si>
  <si>
    <t xml:space="preserve">S1: تامین بهینه قطعات قوای محرکه غیرگروه مبتنی بر MRP و مدیریت چندمنبعی زنجیره تامین
S3: شناسایی و توسعه منابع تامین جدید داخلی و خارجی و مدیریت ریسک زنجیره تامین قطعات قوای محرکه</t>
  </si>
  <si>
    <t xml:space="preserve">P4 تامین به‌موقع و باکیفیت قطعات با حداقل قیمت (process; کسب و کار خدمات تعمیراتی)
P5 تامین بر اساس MRP (process; کسب و کار بازرگانی قطعات)
P5 شراکت و روابط بلندمدت با تامین‌کننده قطعه و خدمت (process; کسب و کار گارانتی خودرو)</t>
  </si>
  <si>
    <t xml:space="preserve">M20-1-K1</t>
  </si>
  <si>
    <t xml:space="preserve">افزایش «میزان ریالی تامین قطعات یدکی بازرگانی برند یک (قوای محرکه غیر گروه)»</t>
  </si>
  <si>
    <t xml:space="preserve">C-258-10</t>
  </si>
  <si>
    <t xml:space="preserve">M20-1-K2</t>
  </si>
  <si>
    <t xml:space="preserve">افزایش تعداد منابع تأمین فعال تأییدشده حداقل ۲ منبع جدید</t>
  </si>
  <si>
    <t xml:space="preserve">M20-1-K3</t>
  </si>
  <si>
    <t xml:space="preserve">M20-2</t>
  </si>
  <si>
    <t xml:space="preserve">هدف: کنترل هزینه‌ی خرید، قراردادها و سودآوری</t>
  </si>
  <si>
    <t xml:space="preserve">S4: کنترل هزینه های خرید و کاهش ریسک زنجیره های تامین .
S6: کنترل و تنظیم قرار داد های خرید.</t>
  </si>
  <si>
    <t xml:space="preserve">M20-2-K1</t>
  </si>
  <si>
    <t xml:space="preserve">افزایش «سود ناخالص قطعات بازرگانی (قوای محرکه)»</t>
  </si>
  <si>
    <t xml:space="preserve">SP-22-02</t>
  </si>
  <si>
    <t xml:space="preserve">M20-2-K2</t>
  </si>
  <si>
    <t xml:space="preserve">M20-2-K3</t>
  </si>
  <si>
    <t xml:space="preserve">M20-3</t>
  </si>
  <si>
    <t xml:space="preserve">هدف: توسعه‌ی فروش و رفع مغایرت ورودی</t>
  </si>
  <si>
    <t xml:space="preserve">S2: توسعه فروش قطعات قوای محرکه غیرگروه از طریق فروشگاه اینترنتی و تقویت ارتباط با شبکه عاملیت ها و نمایندگی ها
S5: مدیریت اجرایی رفع مغایرت های کمی و کیفی قطعات دریافتی از تامین کنندگان جهت تضمین کیفیت ورودی به انبار</t>
  </si>
  <si>
    <t xml:space="preserve">C3 کیفیت بالا و ثبات (customer; کسب و کار گارانتی خودرو)
C5 رشد سریع فروشگاه‌ها، تعمیرگاه‌ها و مشتریان بزرگ (customer; کسب و کار بازرگانی قطعات)
F3 استراتژی رشد (financial; کسب و کار بازرگانی قطعات)
P2 کیفیت توافق‌شده خدمات با تأمین‌کنندگان (process; کسب و کار بسته خدمت)
P6 کیفیت پایدار تعمیرات (process; کسب و کار گارانتی خودرو)</t>
  </si>
  <si>
    <t xml:space="preserve">M20-3-K1</t>
  </si>
  <si>
    <t xml:space="preserve">افزایش «میزان ریالی فروش قطعات یدکی بازرگانی برند یک (قوای محرکه غیر گروه)»</t>
  </si>
  <si>
    <t xml:space="preserve">C-01-34</t>
  </si>
  <si>
    <t xml:space="preserve">M20-3-K2</t>
  </si>
  <si>
    <t xml:space="preserve">رفع حداقل ۹۰٪ مغایرت‌های کمی/کیفی دریافتی حداکثر ۳۰ روز</t>
  </si>
  <si>
    <t xml:space="preserve">M20-3-K3</t>
  </si>
  <si>
    <t xml:space="preserve">21. مدیریت بازرگانی قوای محرکه گروه و روانکار   |   معاونت بازرگانی قطعات</t>
  </si>
  <si>
    <t xml:space="preserve">M21-1</t>
  </si>
  <si>
    <t xml:space="preserve">مدیریت بازرگانی قوای محرکه گروه و روانکار</t>
  </si>
  <si>
    <t xml:space="preserve">هدف: تأمین بهینه قوای محرکه‌ی گروه و منابع جایگزین قطعات حیاتی</t>
  </si>
  <si>
    <t xml:space="preserve">S1: تامین بهینه قطعات قوای محرکه گروه با تمرکز بر هم افزایی تولیدکنندگان داخل گروه سایپا
S7: شناسایی منابع جایگزین برای قطعات حیاتی و بحرانی خودروساز برای تامین غیرگروه</t>
  </si>
  <si>
    <t xml:space="preserve">P8 هم‌افزایی تولیدکنندگان گروه (process; کسب و کار بازرگانی قطعات)</t>
  </si>
  <si>
    <t xml:space="preserve">M21-1-K1</t>
  </si>
  <si>
    <t xml:space="preserve">افزایش «میزان ریالی تامین قطعات یدکی بازرگانی برند یک (قوای محرکه گروه)»</t>
  </si>
  <si>
    <t xml:space="preserve">C-258-11</t>
  </si>
  <si>
    <t xml:space="preserve">M21-1-K2</t>
  </si>
  <si>
    <t xml:space="preserve">افزایش «میزان ریالی تامین قطعات یدکی بازرگانی برند یک (روانکار)»</t>
  </si>
  <si>
    <t xml:space="preserve">C-258-14</t>
  </si>
  <si>
    <t xml:space="preserve">M21-1-K3</t>
  </si>
  <si>
    <t xml:space="preserve">شناسایی منابع جایگزین برای حداقل ۳ قطعه‌ی حیاتی و بحرانی</t>
  </si>
  <si>
    <t xml:space="preserve">M21-1-K4</t>
  </si>
  <si>
    <t xml:space="preserve">M21-2</t>
  </si>
  <si>
    <t xml:space="preserve">هدف: توسعه‌ی فروش قوای محرکه‌ی گروه و روانکار</t>
  </si>
  <si>
    <t xml:space="preserve">S2: تامین و توسعه فروش روانکار (روغن و مایعات خودرو) متناسب با نیاز شبکه خدمات پس از فروش
S3: توسعه فروش قطعات قوای محرکه گروه از طریق فروشگاه اینترنتی و تقویت رابطه با شبکه عاملیت ها</t>
  </si>
  <si>
    <t xml:space="preserve">M21-2-K1</t>
  </si>
  <si>
    <t xml:space="preserve">افزایش «میزان ریالی فروش قطعات یدکی بازرگانی برند یک (قوای محرکه گروه)»</t>
  </si>
  <si>
    <t xml:space="preserve">C-01-35</t>
  </si>
  <si>
    <t xml:space="preserve">M21-2-K2</t>
  </si>
  <si>
    <t xml:space="preserve">افزایش «میزان ریالی فروش قطعات یدکی بازرگانی برند یک (روانکار)»</t>
  </si>
  <si>
    <t xml:space="preserve">C-01-38</t>
  </si>
  <si>
    <t xml:space="preserve">M21-2-K3</t>
  </si>
  <si>
    <t xml:space="preserve">M21-3</t>
  </si>
  <si>
    <t xml:space="preserve">هدف: رفع مغایرت‌ها، کنترل قراردادها و هزینه‌ی خرید</t>
  </si>
  <si>
    <t xml:space="preserve">S4: مدیریت اجرایی تامین و رفع مغایرت های کمی و کیفی قطعات دریافتی از تولیدکنندگان گروه و روانکار
S5: کنترل و تنظیم قرار داد های خرید.
S6: کنترل هزینه های خرید و کاهش ریسک زنجیره های تامین .</t>
  </si>
  <si>
    <t xml:space="preserve">M21-3-K1</t>
  </si>
  <si>
    <t xml:space="preserve">افزایش «سود ناخالص قطعات بازرگانی (روانکار)»</t>
  </si>
  <si>
    <t xml:space="preserve">SP-22-05</t>
  </si>
  <si>
    <t xml:space="preserve">M21-3-K2</t>
  </si>
  <si>
    <t xml:space="preserve">M21-3-K3</t>
  </si>
  <si>
    <t xml:space="preserve">22. مدیریت پشتیبانی قطعات خدماتی   |   معاونت بازرگانی قطعات</t>
  </si>
  <si>
    <t xml:space="preserve">M22-1</t>
  </si>
  <si>
    <t xml:space="preserve">مدیریت پشتیبانی قطعات خدماتی</t>
  </si>
  <si>
    <t xml:space="preserve">هدف: بهبود سرویس‌ریت قطعات شبکه‌ی نمایندگی‌ها</t>
  </si>
  <si>
    <t xml:space="preserve">S1: بهبود سرویس ریت قطعات شبکه نمایندگیها</t>
  </si>
  <si>
    <t xml:space="preserve">F5 استفاده حداکثری از ظرفیت شبکه (از شاخص KR)
C3 کانال توزیع مناسب در بازارهای داخلی با دسترسی آسان به پلتفرم (از شاخص KR)
C3 دسترسی آسان به پلتفرم ارتباطی و مولتی‌مدیا تا فروش (از شاخص KR)
F6 استفاده حداکثری از ظرفیت ارائه خدمت و تعیین قطعه (از شاخص KR)
P3 مدیریت موجودی بهینه قطعات (از شاخص KR)</t>
  </si>
  <si>
    <t xml:space="preserve">M22-1-K1</t>
  </si>
  <si>
    <t xml:space="preserve">M22-1-K2</t>
  </si>
  <si>
    <t xml:space="preserve">ارتقای «سرویس ریت قطعات نمایندگی ها»</t>
  </si>
  <si>
    <t xml:space="preserve">C-06-07</t>
  </si>
  <si>
    <t xml:space="preserve">M22-1-K3</t>
  </si>
  <si>
    <t xml:space="preserve">ارتقای «سرویس ریت قطعات تعمیرگاه های مرکزی»</t>
  </si>
  <si>
    <t xml:space="preserve">C-06-08</t>
  </si>
  <si>
    <t xml:space="preserve">M22-2</t>
  </si>
  <si>
    <t xml:space="preserve">هدف: مدیریت نقطه سفارش شبکه و تأمین اضطراری</t>
  </si>
  <si>
    <t xml:space="preserve">S2: مدیریت نقطه سفارش شبکه</t>
  </si>
  <si>
    <t xml:space="preserve">P2 تعیین به‌موقع خدمت گارانتی و ارسال مسئولانه قطعه به نمایندگی (از شاخص KR)</t>
  </si>
  <si>
    <t xml:space="preserve">M22-2-K1</t>
  </si>
  <si>
    <t xml:space="preserve">M22-2-K2</t>
  </si>
  <si>
    <t xml:space="preserve">M22-2-K3</t>
  </si>
  <si>
    <t xml:space="preserve">کاهش «نسبت تعداد درخواستهای VOR به مصرف قطعات خدماتی»</t>
  </si>
  <si>
    <t xml:space="preserve">C-10-00</t>
  </si>
  <si>
    <t xml:space="preserve">M22-3</t>
  </si>
  <si>
    <t xml:space="preserve">هدف: کنترل مصرف قطعات مارک ۵۰۰ (اضطراری)</t>
  </si>
  <si>
    <t xml:space="preserve">S3: کنترل و بهینه سازی مصرف قطعات مارک ۵۰۰ / قطعات اضطراری و خدماتی</t>
  </si>
  <si>
    <t xml:space="preserve">C1 تنوع قطعات و مارک‌ها (customer; کسب و کار بازرگانی قطعات)
P5 تامین بر اساس MRP (process; کسب و کار بازرگانی قطعات)</t>
  </si>
  <si>
    <t xml:space="preserve">M22-3-K1</t>
  </si>
  <si>
    <t xml:space="preserve">کاهش «نسبت مارک 500 به مصرف قطعات خدماتی»</t>
  </si>
  <si>
    <t xml:space="preserve">RP-01-02</t>
  </si>
  <si>
    <t xml:space="preserve">M22-3-K2</t>
  </si>
  <si>
    <t xml:space="preserve">تحلیل ماهانه علل ۱۰۰٪ مصرف مارک ۵۰۰ و ارائه اقدام اصلاحی</t>
  </si>
  <si>
    <t xml:space="preserve">23. مدیریت انبار مرکزی و توزیع   |   معاونت برنامه‌ریزی و لجستیک</t>
  </si>
  <si>
    <t xml:space="preserve">M23-1</t>
  </si>
  <si>
    <t xml:space="preserve">مدیریت انبار مرکزی و توزیع</t>
  </si>
  <si>
    <t xml:space="preserve">هدف: بهینه‌سازی دریافت/ارسال و تخصیص قطعات</t>
  </si>
  <si>
    <t xml:space="preserve">D6-2 — ارسال سریع و دقیق قطعات به شبکه با هزینه‌ی کنترل‌شده</t>
  </si>
  <si>
    <t xml:space="preserve">S1: بهینه سازی فرآیند دریافت/ ارسال عادی و سریع
S6: تخصیص بهینه قطعات</t>
  </si>
  <si>
    <t xml:space="preserve">P2 تعیین به‌موقع خدمت گارانتی و ارسال مسئولانه قطعه به نمایندگی (از شاخص KR)
P12 نفوذ بر هزینه‌های جابجایی مشتریان (از شاخص KR)
L6 مشتری‌محوری و مکمل‌محوری با تمرکز بر هزینه جابجایی و انتقال (از شاخص KR)
C4 خرید آسان و سریع (از شاخص KR)
P15 افزایش کاربرد آسان‌بودن پلتفرم (از شاخص KR)</t>
  </si>
  <si>
    <t xml:space="preserve">M23-1-K1</t>
  </si>
  <si>
    <t xml:space="preserve">M23-1-K2</t>
  </si>
  <si>
    <t xml:space="preserve">M23-1-K3</t>
  </si>
  <si>
    <t xml:space="preserve">تخصیص بهینه قطعات: تطابق حداقل ۹۵٪ تخصیص با برنامه‌ی توزیع</t>
  </si>
  <si>
    <t xml:space="preserve">M23-2</t>
  </si>
  <si>
    <t xml:space="preserve">هدف: مدیریت ناوگان/پیمانکاران حمل و طرح بسته‌بندی قطعات</t>
  </si>
  <si>
    <t xml:space="preserve">S2: مدیریت بهینه ناوگان و پیمانکاران حمل
S4: بهینه سازی طرح بسته بندی قطعات</t>
  </si>
  <si>
    <t xml:space="preserve">F4 خرید خدمات با حداقل قیمت (از شاخص KR)
F4 کاهش هزینه کلیم (از شاخص KR)
F4 هزینه پایین پلتفرم (از شاخص KR)
P12 نفوذ بر هزینه‌های جابجایی مشتریان (از شاخص KR)</t>
  </si>
  <si>
    <t xml:space="preserve">M23-2-K1</t>
  </si>
  <si>
    <t xml:space="preserve">M23-2-K2</t>
  </si>
  <si>
    <t xml:space="preserve">M23-2-K3</t>
  </si>
  <si>
    <t xml:space="preserve">کاهش هزینه‌ی هر کیلوگرم/کارتن ارسال نسبت به مبنای ۱۴۰۴</t>
  </si>
  <si>
    <t xml:space="preserve">M23-3</t>
  </si>
  <si>
    <t xml:space="preserve">هدف: فضاسازی انبار و انطباق موجودی عینی و سیستمی</t>
  </si>
  <si>
    <t xml:space="preserve">D6-1 — بهینه‌سازی موجودی و گردش قطعات</t>
  </si>
  <si>
    <t xml:space="preserve">S3: بهینه سازی فضاسازی و نگهداری انبار
S5: اطمینان از انطباق موجودی عینی و سیستمی قطعات</t>
  </si>
  <si>
    <t xml:space="preserve">P3 مدیریت موجودی بهینه قطعات (process; کسب و کار خدمات تعمیراتی)</t>
  </si>
  <si>
    <t xml:space="preserve">M23-3-K1</t>
  </si>
  <si>
    <t xml:space="preserve">صحت موجودی انبار (تطابق فیزیکی و سیستمی) حداقل ۹۸٪</t>
  </si>
  <si>
    <t xml:space="preserve">M23-3-K2</t>
  </si>
  <si>
    <t xml:space="preserve">اجرای ۱۰۰٪ انبارگردانی‌های دوره‌ای و پایان سال طبق برنامه</t>
  </si>
  <si>
    <t xml:space="preserve">24. مدیریت برنامه ریزی جامع   |   معاونت برنامه‌ریزی و لجستیک</t>
  </si>
  <si>
    <t xml:space="preserve">M24-1</t>
  </si>
  <si>
    <t xml:space="preserve">مدیریت برنامه ریزی جامع</t>
  </si>
  <si>
    <t xml:space="preserve">هدف: تدوین بودجه‌ی سالیانه فروش/تأمین و نیازسنجی ناخالص و خالص</t>
  </si>
  <si>
    <t xml:space="preserve">S1: تدوین بودجه سالیانه فروش و تامین به تفکیک ماه و گروه قطعات
S2: نیازسنجی سالیانه ناخالص و خالص قطعات</t>
  </si>
  <si>
    <t xml:space="preserve">P4 تامین به‌موقع و باکیفیت قطعات با حداقل قیمت (process; کسب و کار خدمات تعمیراتی)
P4 مدیریت ریسک مالی (process; کسب و کار گارانتی خودرو)
P5 تامین بر اساس MRP (process; کسب و کار بازرگانی قطعات)
P5 شراکت و روابط بلندمدت با تامین‌کننده قطعه و خدمت (process; کسب و کار گارانتی خودرو)</t>
  </si>
  <si>
    <t xml:space="preserve">M24-1-K1</t>
  </si>
  <si>
    <t xml:space="preserve">ارائه بودجه‌ی ماهانه‌ی فروش و تأمین ۱۴۰۶ تا مهلت مقرر (۱ سند)</t>
  </si>
  <si>
    <t xml:space="preserve">M24-1-K2</t>
  </si>
  <si>
    <t xml:space="preserve">ثبت نیاز ناخالص و خالص سالیانه ۱۰۰٪ گروه‌های قطعه در SRM</t>
  </si>
  <si>
    <t xml:space="preserve">M24-2</t>
  </si>
  <si>
    <t xml:space="preserve">هدف: سفارش‌گذاری بهینه، ابلاغ به‌موقع MRP و کنترل موجودی</t>
  </si>
  <si>
    <t xml:space="preserve">S3: سفارشگذاری بهینه و ابلاغ به موقع MRP
S4: کنترل موجودی (گردش، ذخیره احتیاطی و نقطه سفارش ROP</t>
  </si>
  <si>
    <t xml:space="preserve">P5 تامین بر اساس MRP (از شاخص KR)
F2 استراتژی بهره‌وری (از شاخص KR)
P3 هزینه حداقلی در انبارداری، بسته‌بندی و حمل قطعات گارانتی (از شاخص KR)
P3 مدیریت موجودی بهینه قطعات (از شاخص KR)</t>
  </si>
  <si>
    <t xml:space="preserve">M24-2-K1</t>
  </si>
  <si>
    <t xml:space="preserve">M24-2-K2</t>
  </si>
  <si>
    <t xml:space="preserve">ارتقای «نسبت MRP قطعات تندگردش تجاری»</t>
  </si>
  <si>
    <t xml:space="preserve">C-06-01</t>
  </si>
  <si>
    <t xml:space="preserve">M24-2-K3</t>
  </si>
  <si>
    <t xml:space="preserve">M24-2-K4</t>
  </si>
  <si>
    <t xml:space="preserve">افزایش «نرخ گردش موجودی تجاری»</t>
  </si>
  <si>
    <t xml:space="preserve">C-06-02</t>
  </si>
  <si>
    <t xml:space="preserve">M24-2-K5</t>
  </si>
  <si>
    <t xml:space="preserve">کاهش «دوره گردش موجودی شرکت»</t>
  </si>
  <si>
    <t xml:space="preserve">C-06-10</t>
  </si>
  <si>
    <t xml:space="preserve">M24-3</t>
  </si>
  <si>
    <t xml:space="preserve">هدف: تعیین تکلیف قطعات راکد، توسعه سبد و تحلیل داده فروش</t>
  </si>
  <si>
    <t xml:space="preserve">S5: شناسایی و تعیین تکلیف قطعات راکد و کند گردش
S6: ارزیابی و توسعه سبد قطعات و تحلیل رقبا
S7: طراحی مدل ها و الگوریتم تحلیل داده فروش برای بهینه سازی برنامه ریزی</t>
  </si>
  <si>
    <t xml:space="preserve">P4 تعیین تکلیف اقلام مازاد (process; کسب و کار بازرگانی قطعات)</t>
  </si>
  <si>
    <t xml:space="preserve">M24-3-K1</t>
  </si>
  <si>
    <t xml:space="preserve">M24-3-K2</t>
  </si>
  <si>
    <t xml:space="preserve">ارائه حداقل ۴ گزارش فصلی ارزیابی سبد قطعات و تحلیل رقبا</t>
  </si>
  <si>
    <t xml:space="preserve">M24-3-K3</t>
  </si>
  <si>
    <t xml:space="preserve">استقرار حداقل ۱ مدل پیش‌بینی تقاضا و ارزیابی دقت (MAPE) آن</t>
  </si>
  <si>
    <t xml:space="preserve">25. مدیریت لجستیک و اقلام نامنطبق   |   معاونت برنامه‌ریزی و لجستیک</t>
  </si>
  <si>
    <t xml:space="preserve">M25-1</t>
  </si>
  <si>
    <t xml:space="preserve">مدیریت لجستیک و اقلام نامنطبق</t>
  </si>
  <si>
    <t xml:space="preserve">هدف: درآمدزایی از فروش اقلام نامنطبق و مدیریت مزایده‌ی راکد/مازاد</t>
  </si>
  <si>
    <t xml:space="preserve">D6-3 — بازیافت ارزش اقلام نامنطبق و کنترل هزینه‌های لجستیک</t>
  </si>
  <si>
    <t xml:space="preserve">S1: درآمدزایی از فروش اقلام نامنطبق / خودرو درجه 2
S6: مدیریت بهینه فرآیند مزایده اقلام راکد و مازاد گروه سایپا</t>
  </si>
  <si>
    <t xml:space="preserve">P4 تعیین تکلیف اقلام مازاد (process; کسب و کار بازرگانی قطعات)
P9 توسعه خدمات هم‌افزا در بسته‌های خدماتی (از شاخص KR)
P15 استقرار و بسط فرهنگ بازیافت (از شاخص KR)</t>
  </si>
  <si>
    <t xml:space="preserve">M25-1-K1</t>
  </si>
  <si>
    <t xml:space="preserve">M25-1-K2</t>
  </si>
  <si>
    <t xml:space="preserve">تعیین تکلیف حداقل ۸۰٪ اقلام نامنطبق ثبت‌شده حداکثر ۹۰ روز</t>
  </si>
  <si>
    <t xml:space="preserve">M25-2</t>
  </si>
  <si>
    <t xml:space="preserve">هدف: بهینه‌سازی لجستیک و حمل‌ونقل و مدیریت پالت‌های مشترک</t>
  </si>
  <si>
    <t xml:space="preserve">S2: بهینه سازی فرآیندهای لجستیکی و حمل ونقل
S5: مدیریت برنامه ریزی، نگهداشت و گردش پالت های مشترک در زنجیره توزیع و کاهش ضایعات ناشی از آسیب دیدگی پالت</t>
  </si>
  <si>
    <t xml:space="preserve">F2 افزایش بهره‌وری (financial; کسب و کار خدمات تعمیراتی)
F4 خرید خدمات با حداقل قیمت (از شاخص KR)
C2 شبکه با حداقل هزینه (از شاخص KR)
P3 هزینه حداقلی در انبارداری، بسته‌بندی و حمل قطعات گارانتی (از شاخص KR)</t>
  </si>
  <si>
    <t xml:space="preserve">M25-2-K1</t>
  </si>
  <si>
    <t xml:space="preserve">M25-2-K2</t>
  </si>
  <si>
    <t xml:space="preserve">کاهش ضایعات پالت ناشی از آسیب‌دیدگی نسبت به ۱۴۰۴</t>
  </si>
  <si>
    <t xml:space="preserve">M25-3</t>
  </si>
  <si>
    <t xml:space="preserve">هدف: سازماندهی انبار نامنطبق و تسریع تعیین تکلیف</t>
  </si>
  <si>
    <t xml:space="preserve">S3: سازماندهی و مدیریت انبار اقلام نامنطبق/مزایده ای
S4: بهینه سازی فرآیند تشخیص و تعیین تکلیف اقلام نامنطبق</t>
  </si>
  <si>
    <t xml:space="preserve">F1 سود عملیاتی خدمات تعمیراتی (financial; کسب و کار خدمات تعمیراتی)</t>
  </si>
  <si>
    <t xml:space="preserve">M25-3-K1</t>
  </si>
  <si>
    <t xml:space="preserve">تفکیک و ساماندهی ۱۰۰٪ اقلام ورودی حداکثر ۳۰ روز</t>
  </si>
  <si>
    <t xml:space="preserve">M25-3-K2</t>
  </si>
  <si>
    <t xml:space="preserve">برگزاری ماهانه‌ی کمیته‌ی تشخیص و تعیین تکلیف (۱۲ جلسه)</t>
  </si>
  <si>
    <t xml:space="preserve">26. مدیریت اقتصادی   |   معاونت مالی و اقتصادی</t>
  </si>
  <si>
    <t xml:space="preserve">M26-1</t>
  </si>
  <si>
    <t xml:space="preserve">مدیریت اقتصادی</t>
  </si>
  <si>
    <t xml:space="preserve">هدف: استقرار بودجه‌ریزی عملیاتی و ساماندهی فرآیند مجامع و کمیسیون معاملات</t>
  </si>
  <si>
    <t xml:space="preserve">D7-1 — پایداری سودآوری و تحقق بودجه</t>
  </si>
  <si>
    <t xml:space="preserve">S1: استقرار نظام بودجه ریزی عملیاتی دقیق و پایش مستمر تحقق بودجه شرکت و شرکت های تابعه
S6: ساماندهی و اجرای شفاف فرآیند برگزاری مجامع، هیات مدیره و کمیسیون معاملات (مناقصه/مزایده)</t>
  </si>
  <si>
    <t xml:space="preserve">F1 سود عملیاتی آپشن (financial; کسب و کار آپشن)
F1 سود عملیاتی خدمات تعمیراتی (financial; کسب و کار خدمات تعمیراتی)
F1 سود عملیاتی گارانتی خودرو (financial; کسب و کار گارانتی خودرو)</t>
  </si>
  <si>
    <t xml:space="preserve">M26-1-K1</t>
  </si>
  <si>
    <t xml:space="preserve">تحقق بودجه‌ی درآمد عملیاتی حداقل ۹۵٪ (سالانه)</t>
  </si>
  <si>
    <t xml:space="preserve">M26-1-K2</t>
  </si>
  <si>
    <t xml:space="preserve">پایش ماهانه‌ی تحقق بودجه شرکت و تابعه (۱۲ گزارش)</t>
  </si>
  <si>
    <t xml:space="preserve">M26-2</t>
  </si>
  <si>
    <t xml:space="preserve">هدف: سودآوری، کنترل هزینه‌ها و ارزیابی اقتصادی طرح‌ها</t>
  </si>
  <si>
    <t xml:space="preserve">S2: تحلیل و کنترل روند هزینه های سازمان و شناسایی فرصت های کاهش هزینه
S3: ارزیابی اقتصادی طرح های سرمایه گذاری و پروژه های جدید پیش از تصویب هیات مدیره</t>
  </si>
  <si>
    <t xml:space="preserve">C2 شبکه با حداقل هزینه (customer; کسب و کار گارانتی خودرو)
F4 هزینه پایین پلتفرم (financial; کسب و کار بازرگانی قطعات)
F4 هزینه پایین پلتفرم ارتباطی و مولتی‌مدیا (financial; کسب و کار آپشن)
F5 کاهش هزینه خدمات و قطعات (financial; کسب و کار خدمات تعمیراتی)
P5 سرمایه‌گذاری مشترک در ایراتورهای پلتفرم ارتباطی (process; کسب و کار آپشن)
P6 سرمایه‌گذاری و طرح‌های مشترک با طرح‌سازان در قطعات یدکی (process; کسب و کار بازرگانی قطعات)
F1 سود عملیاتی بسته خدمت (از شاخص KR)
F1 سود عملیاتی گارانتی خودرو (از شاخص KR)
F1 سود عملیاتی بازرگانی قطعات یدکی (از شاخص KR)
F1 سود عملیاتی آپشن (از شاخص KR)</t>
  </si>
  <si>
    <t xml:space="preserve">M26-2-K1</t>
  </si>
  <si>
    <t xml:space="preserve">M26-2-K2</t>
  </si>
  <si>
    <t xml:space="preserve">M26-2-K3</t>
  </si>
  <si>
    <t xml:space="preserve">ارزیابی اقتصادی ۱۰۰٪ طرح‌های سرمایه‌گذاری پیش از تصویب</t>
  </si>
  <si>
    <t xml:space="preserve">M26-3</t>
  </si>
  <si>
    <t xml:space="preserve">هدف: صورت‌های مالی تلفیقی و رصد قیمت بازار</t>
  </si>
  <si>
    <t xml:space="preserve">D7-3 — گزارشگری مالی و مالیاتی دقیق و به‌موقع</t>
  </si>
  <si>
    <t xml:space="preserve">S4: تهیه و ارائه به موقع صورت های مالی تلفیقی شرکت و شرکت های تابعه، منطبق با استانداردهای حسابداری
S5: رصد و تحلیل مستمر قیمت بازار و عوامل اقتصادی موثر بر قیمت گذاری</t>
  </si>
  <si>
    <t xml:space="preserve">C1 قیمت مناسب نسبت به شبکه و بازار (customer; کسب و کار بسته خدمت)
P20 قیمت‌گذاری هوشمند و پویا (process; کسب و کار بازرگانی قطعات)
P4 مدیریت ریسک مالی (process; کسب و کار گارانتی خودرو)
P5 خودکارسازی فرآیند مالی و مالیاتی معاملات کارمزدی (process; واسطه گری)
F1 سود عملیاتی بسته خدمت (از شاخص KR)
F3 استراتژی رشد (از شاخص KR)</t>
  </si>
  <si>
    <t xml:space="preserve">M26-3-K1</t>
  </si>
  <si>
    <t xml:space="preserve">M26-3-K2</t>
  </si>
  <si>
    <t xml:space="preserve">ارائه صورت‌های مالی تلفیقی در حداکثر ۱۵ روز پس از پایان دوره</t>
  </si>
  <si>
    <t xml:space="preserve">27. مدیریت حسابداری بازرگانی و خدمات پس از فروش   |   معاونت مالی و اقتصادی</t>
  </si>
  <si>
    <t xml:space="preserve">M27-1</t>
  </si>
  <si>
    <t xml:space="preserve">مدیریت حسابداری بازرگانی و خدمات پس از فروش</t>
  </si>
  <si>
    <t xml:space="preserve">هدف: ثبت دقیق رویدادهای مالی و محاسبه‌ی بهای تمام‌شده</t>
  </si>
  <si>
    <t xml:space="preserve">S1: رسیدگی ، کنترل و ثبت رویدادهای مالی مرتبط با عملیات خرید ، فروش و خدمات پس از فروش
S2: قیمت گذاری سفارشات خرید ، محاسبه بهای تمام شده قطعات و خدمات به تفکیک نوع فعالیت</t>
  </si>
  <si>
    <t xml:space="preserve">M27-1-K1</t>
  </si>
  <si>
    <t xml:space="preserve">ثبت حداقل ۹۸٪ اسناد خرید/فروش حداکثر ۵ روز کاری از دریافت</t>
  </si>
  <si>
    <t xml:space="preserve">M27-1-K2</t>
  </si>
  <si>
    <t xml:space="preserve">ارائه گزارش ماهانه بهای تمام‌شده‌ی قطعات و خدمات (۱۲ گزارش)</t>
  </si>
  <si>
    <t xml:space="preserve">M27-2</t>
  </si>
  <si>
    <t xml:space="preserve">هدف: کنترل حساب طرف‌حساب‌ها، تعیین مبالغ پرداختنی و تطبیق حساب</t>
  </si>
  <si>
    <t xml:space="preserve">D7-2 — مدیریت نقدینگی، وصول مطالبات و تأمین مالی</t>
  </si>
  <si>
    <t xml:space="preserve">S3: بررسی و کنترل قراردادها ، وضعیت حساب مالی اشخاص طرف حساب ( تامین کنندگان،پیمانکاران،نمایندگی ها و...)
S4: بررسی و تعیین مبالغ قابل پرداخت به اشخاص طرف حساب و صدور درخواست پرداخت برای آنان
S5: تهیه صورت تطبیق حسابهای مالی فیمابین با شرکت ها و اشخاص طرف حساب</t>
  </si>
  <si>
    <t xml:space="preserve">M27-2-K1</t>
  </si>
  <si>
    <t xml:space="preserve">تطبیق حساب فصلی با ۱۰۰٪ طرف‌حساب‌های عمده</t>
  </si>
  <si>
    <t xml:space="preserve">M27-2-K2</t>
  </si>
  <si>
    <t xml:space="preserve">صدور درخواست پرداخت دقیق حداکثر ۵ روز کاری پس از تأیید</t>
  </si>
  <si>
    <t xml:space="preserve">M27-2-K3</t>
  </si>
  <si>
    <t xml:space="preserve">کاهش دوره‌ی وصول مطالبات شبکه نسبت به مبنای ۱۴۰۵</t>
  </si>
  <si>
    <t xml:space="preserve">M27-3</t>
  </si>
  <si>
    <t xml:space="preserve">هدف: صورتحساب الکترونیکی، هزینه‌های تأمین خارجی و پاسخ‌گویی به حسابرسان</t>
  </si>
  <si>
    <t xml:space="preserve">S6: بررسی ، تایید و ارسال صورتحساب های الکترونیکی (خرید،فروش،گارانتی،فراخوان و... ) به سامانه مودیان مالیاتی
S7: مدیریت و تسویه به موقع هزینه های تامین خارجی شامل حمل، بیمه و ترخیص کالا
S8: ارائه اطلاعات مورد نیاز به حسابرسان مستقل جهت ارائه گزارش حسابرسی</t>
  </si>
  <si>
    <t xml:space="preserve">P1 طراحی مدل توزیع منابع مالی (process; کسب و کار بازرگانی قطعات)</t>
  </si>
  <si>
    <t xml:space="preserve">M27-3-K1</t>
  </si>
  <si>
    <t xml:space="preserve">ارسال ۱۰۰٪ صورتحساب‌های الکترونیکی به سامانه مودیان در مهلت قانونی</t>
  </si>
  <si>
    <t xml:space="preserve">M27-3-K2</t>
  </si>
  <si>
    <t xml:space="preserve">تسویه ۱۰۰٪ هزینه‌های حمل/بیمه/ترخیص در سررسید</t>
  </si>
  <si>
    <t xml:space="preserve">M27-3-K3</t>
  </si>
  <si>
    <t xml:space="preserve">ارائه ۱۰۰٪ اطلاعات درخواستی حسابرسان مستقل در مهلت</t>
  </si>
  <si>
    <t xml:space="preserve">28. مدیریت حسابداری مالی   |   معاونت مالی و اقتصادی</t>
  </si>
  <si>
    <t xml:space="preserve">M28-1</t>
  </si>
  <si>
    <t xml:space="preserve">مدیریت حسابداری مالی</t>
  </si>
  <si>
    <t xml:space="preserve">هدف: مدیریت نقدینگی و تأمین مالی متنوع و بهینه</t>
  </si>
  <si>
    <t xml:space="preserve">S1: برنامه ریزی وکنترل منابع و مصارف وجوه و مدیریت نقدینگی
S2: تامین مالی متنوع و بهینه (بانکی، تمدید، تسهیلات، ضمانت نامه ها)</t>
  </si>
  <si>
    <t xml:space="preserve">P1 طراحی مدل توزیع منابع مالی (از شاخص KR)
F4 خرید خدمات با حداقل قیمت (از شاخص KR)
P4 مدیریت ریسک مالی (از شاخص KR)</t>
  </si>
  <si>
    <t xml:space="preserve">M28-1-K1</t>
  </si>
  <si>
    <t xml:space="preserve">M28-1-K2</t>
  </si>
  <si>
    <t xml:space="preserve">افزایش «میزان تأمین مالی (از بازار سرمایه و بازار پول)»</t>
  </si>
  <si>
    <t xml:space="preserve">E-01-01</t>
  </si>
  <si>
    <t xml:space="preserve">پیشنهادی: بیشینهٔ «۱۰٪ رشد نسبت به واقعی ۱۴۰۴»، «هدف تجمعی ثبت‌شده ۱۴۰۵ × ۲» و «روند عملکرد ۱۴۰۵ × ۲» (فرض: داده‌ها ۶ماهه) | سقف ۲ برابر مبنا اعمال شد (محاسبه‌ی خام: 5000)</t>
  </si>
  <si>
    <t xml:space="preserve">M28-1-K3</t>
  </si>
  <si>
    <t xml:space="preserve">ارتقای «نسبت منابع مالی تخصیص داده شده به کسب و کار بازرگانی قطعات یدکی به فروش قطعات یدکی (فروش قطعی) به قیمت خرید»</t>
  </si>
  <si>
    <t xml:space="preserve">SP-215-01</t>
  </si>
  <si>
    <t xml:space="preserve">M28-1-K4</t>
  </si>
  <si>
    <t xml:space="preserve">ارتقای «نسبت پوشش هزینه بهره (سود قبل از کسر بهره و مالیات تقسیم بر هزینه بهره)»</t>
  </si>
  <si>
    <t xml:space="preserve">SP-250-00</t>
  </si>
  <si>
    <t xml:space="preserve">M28-2</t>
  </si>
  <si>
    <t xml:space="preserve">هدف: بهبود وصول مطالبات و پرداخت به‌موقع تعهدات</t>
  </si>
  <si>
    <t xml:space="preserve">S3: بهبود وصول به موقع مطالبات (شبکه ، خودروسازان) و کاهش مطالبات معوق
S4: پرداخت به موقع و دقیق تعهدات (تامین کنندگان، پیمانکاران، هزینه ها)</t>
  </si>
  <si>
    <t xml:space="preserve">P1 طراحی مدل توزیع منابع مالی (process; کسب و کار بازرگانی قطعات)
P2 اعتماد و هوشمندسازی مدیریت پرداخت ارزش در طول زنجیره (process; کسب و کار بازرگانی قطعات)
P4 مدیریت ریسک مالی (process; کسب و کار گارانتی خودرو)
L3 ABC و CRM برای هر مشتری در طول عمر (از شاخص KR)
L4 ABC، CRM و باشگاه مشتریان (از شاخص KR)
F4 خرید خدمات با حداقل قیمت (از شاخص KR)
P5 شراکت و روابط بلندمدت با تامین‌کننده قطعه و خدمت (از شاخص KR)
P9 خدمات و مزایا به تولیدکنندگان و واردکنندگان قطعات (از شاخص KR)</t>
  </si>
  <si>
    <t xml:space="preserve">M28-2-K1</t>
  </si>
  <si>
    <t xml:space="preserve">M28-2-K2</t>
  </si>
  <si>
    <t xml:space="preserve">M28-2-K3</t>
  </si>
  <si>
    <t xml:space="preserve">M28-2-K4</t>
  </si>
  <si>
    <t xml:space="preserve">M28-2-K5</t>
  </si>
  <si>
    <t xml:space="preserve">ارتقای «نسبت وصول مطالبات خدمات پس از فروش از خودروساز (سایپا)»</t>
  </si>
  <si>
    <t xml:space="preserve">EF-01-05</t>
  </si>
  <si>
    <t xml:space="preserve">M28-3</t>
  </si>
  <si>
    <t xml:space="preserve">هدف: ممیزی قبل از پرداخت، مغایرت‌گیری و گزارشگری مالی/مالیاتی دقیق</t>
  </si>
  <si>
    <t xml:space="preserve">S5: کنترل پیش پرداخت اسناد (ممیزی و رسیدگی قبل از پرداخت)
S6: مغایرت گیری بانکی و ارزی و تسریع در رفع مغایرت ها
S7: حسابداری عمومی دقیق، بستن حسابها و گزارشگیری مالی و مالیاتی در مهلت قانونی
S11: مدیریت ریسک و بهبود فرآیندهای مالی (اندازه گیری شاخص، اقدام اصلاحی، الگوبرداری)</t>
  </si>
  <si>
    <t xml:space="preserve">M28-3-K1</t>
  </si>
  <si>
    <t xml:space="preserve">رسیدگی ۱۰۰٪ اسناد پرداخت قبل از دستور پرداخت</t>
  </si>
  <si>
    <t xml:space="preserve">M28-3-K2</t>
  </si>
  <si>
    <t xml:space="preserve">رفع ۱۰۰٪ مغایرت‌های بانکی/ارزی حداکثر ۱۵ روز پس از شناسایی</t>
  </si>
  <si>
    <t xml:space="preserve">M28-3-K3</t>
  </si>
  <si>
    <t xml:space="preserve">ارائه ۱۰۰٪ صورت‌های مالی و اظهارنامه‌های قانونی در مهلت مقرر</t>
  </si>
  <si>
    <t xml:space="preserve">M28-4</t>
  </si>
  <si>
    <t xml:space="preserve">هدف: حسابداری اموال، حقوق و مزایا و پاسخگویی به مراجع</t>
  </si>
  <si>
    <t xml:space="preserve">S8: حسابداری اموال و دارایی های ثابت، پروژه ها و بیمه دارایی ها
S9: حسابداری حقوق و مزایای پرسنل و امور بیمه ای/ مالیاتی و سهام پرسنل
S10: پاسخگویی به حسابرسان، ممیز مالیاتی و تامین اجتماعی</t>
  </si>
  <si>
    <t xml:space="preserve">M28-4-K1</t>
  </si>
  <si>
    <t xml:space="preserve">ارتقای «پرداخت به موقع هزینه های مربوط به کارکنان (شامل: حقوق، کارانه، درمان، غیرنقدی، بن خرید)»</t>
  </si>
  <si>
    <t xml:space="preserve">HR-76-07</t>
  </si>
  <si>
    <t xml:space="preserve">M28-4-K2</t>
  </si>
  <si>
    <t xml:space="preserve">ثبت و پلاک‌کوبی ۱۰۰٪ دارایی‌های جدید و تکمیل بیمه‌ی دارایی‌ها</t>
  </si>
  <si>
    <t xml:space="preserve">M28-4-K3</t>
  </si>
  <si>
    <t xml:space="preserve">پاسخ‌گویی به ۱۰۰٪ استعلام/لوایح حسابرس، ممیز مالیاتی و تأمین اجتماعی در مهلت</t>
  </si>
  <si>
    <t xml:space="preserve">29. اداره مهندسی سیستم‌های اطلاعاتی   |   معاونت طرح و برنامه</t>
  </si>
  <si>
    <t xml:space="preserve">M29-1</t>
  </si>
  <si>
    <t xml:space="preserve">اداره مهندسی سیستم‌های اطلاعاتی</t>
  </si>
  <si>
    <t xml:space="preserve">هدف: امنیت، پایداری و پشتیبان‌گیری/بازیابی پایگاه‌های داده</t>
  </si>
  <si>
    <t xml:space="preserve">D8-2 — زیرساخت، امنیت و خدمات فناوری اطلاعات پایدار</t>
  </si>
  <si>
    <t xml:space="preserve">S1: ارتقای امنیت،پایداری و حفاظت پایگاه های داده
S4: مدیریت پشتیبان گیری و بازیابی اطلاعات و کاهش ریسک های عملیاتی</t>
  </si>
  <si>
    <t xml:space="preserve">L5 بهبود و توسعه زیرساخت فناوری اطلاعات (learning; کسب و کار خدمات تعمیراتی)
L8 بهبود و توسعه زیرساخت فناوری اطلاعات (learning; کسب و کار بازرگانی قطعات)</t>
  </si>
  <si>
    <t xml:space="preserve">M29-1-K1</t>
  </si>
  <si>
    <t xml:space="preserve">در دسترس‌بودن پایگاه‌های داده‌ی حیاتی حداقل ۹۹٪</t>
  </si>
  <si>
    <t xml:space="preserve">M29-1-K2</t>
  </si>
  <si>
    <t xml:space="preserve">اجرای ۱۰۰٪ پشتیبان‌گیری و تست بازیابی فصلی</t>
  </si>
  <si>
    <t xml:space="preserve">M29-2</t>
  </si>
  <si>
    <t xml:space="preserve">هدف: صحت و یکپارچگی داده و توسعه‌ی اشیای پایگاه داده‌ی سامانه‌ها</t>
  </si>
  <si>
    <t xml:space="preserve">S2: تضمین صحت، یکپارچگی و قابلیت اتکای اطلاعات
S5: توسعه و نگهداری اشیای پایگاه داده موردنیاز سامانه ها و گزارشات</t>
  </si>
  <si>
    <t xml:space="preserve">M29-2-K1</t>
  </si>
  <si>
    <t xml:space="preserve">کاهش «تعداد تغییر دیتا توسط معاونت طرح و برنامه»</t>
  </si>
  <si>
    <t xml:space="preserve">PP-01-03</t>
  </si>
  <si>
    <t xml:space="preserve">M29-2-K2</t>
  </si>
  <si>
    <t xml:space="preserve">تکمیل ۱۰۰٪ نقاط‌عطف یکپارچه‌سازی CRM میان کسب‌وکارها</t>
  </si>
  <si>
    <t xml:space="preserve">M29-2-K3</t>
  </si>
  <si>
    <t xml:space="preserve">تحویل به‌موقع ۱۰۰٪ اشیای پایگاه داده‌ی مورد درخواست سامانه‌ها/گزارش‌ها</t>
  </si>
  <si>
    <t xml:space="preserve">M29-3</t>
  </si>
  <si>
    <t xml:space="preserve">هدف: بهبود مدیریت عملیات، تغییرات و فرآیندهای خودکار پایگاه داده</t>
  </si>
  <si>
    <t xml:space="preserve">D8-1 — اجرای مؤثر برنامه راهبردی و نظام ارزیابی عملکرد</t>
  </si>
  <si>
    <t xml:space="preserve">S3: بهبود مدیریت عملیات، تغییرات و فرآیندهای عملیاتی و خودکار پایگاه داده</t>
  </si>
  <si>
    <t xml:space="preserve">M29-3-K1</t>
  </si>
  <si>
    <t xml:space="preserve">ثبت و تأیید ۱۰۰٪ تغییرات پایگاه داده در فرآیند مدیریت تغییر</t>
  </si>
  <si>
    <t xml:space="preserve">M29-3-K2</t>
  </si>
  <si>
    <t xml:space="preserve">خودکارسازی حداقل ۳ فرآیند عملیاتی تکراری پایگاه داده</t>
  </si>
  <si>
    <t xml:space="preserve">30. مدیریت برنامه ریزی و نظارت راهبردی   |   معاونت طرح و برنامه</t>
  </si>
  <si>
    <t xml:space="preserve">M30-1</t>
  </si>
  <si>
    <t xml:space="preserve">مدیریت برنامه ریزی و نظارت راهبردی</t>
  </si>
  <si>
    <t xml:space="preserve">هدف: اجرای فرآیند برنامه‌ریزی استراتژیک و کارنامه‌ی شرکت‌های تابعه</t>
  </si>
  <si>
    <t xml:space="preserve">S1: اجرای فرآیند برنامه ریزی استراتژیک سازمان از تحلیل ذینفعان و محیط تا تدوین و جاری سازی نقشه راهبردها
S6: برنامه ریزی و کنترل کارنامه عملکرد شرکت های تابعه گروه سایپا یدک هم راستا با اهداف کلان سازمان</t>
  </si>
  <si>
    <t xml:space="preserve">M30-1-K1</t>
  </si>
  <si>
    <t xml:space="preserve">بازنگری و ابلاغ ۱۰۰٪ اهداف و برنامه‌های ۱۴۰۶ تا مهلت مقرر</t>
  </si>
  <si>
    <t xml:space="preserve">M30-1-K2</t>
  </si>
  <si>
    <t xml:space="preserve">تکمیل کارنامه‌ی عملکرد ۱۰۰٪ شرکت‌های تابعه‌ی هم‌راستا با اهداف کلان</t>
  </si>
  <si>
    <t xml:space="preserve">M30-2</t>
  </si>
  <si>
    <t xml:space="preserve">هدف: پایش ابتکارات و ارزیابی عملکرد</t>
  </si>
  <si>
    <t xml:space="preserve">S2: طرح ریزی، پایش و کنترل پروژه های ابتکارات استراتژیک و برنامه های عملیاتی سازمان
S3: استقرار و اجرای نظام جامع ارزیابی عملکرد سازمان (شاخص های کلان کسب وکار و کارها) با استفاده از سامانه تخصصی BSC</t>
  </si>
  <si>
    <t xml:space="preserve">M30-2-K1</t>
  </si>
  <si>
    <t xml:space="preserve">پایش ماهانه‌ی ۱۰۰٪ پروژه‌های ابتکارات استراتژیک</t>
  </si>
  <si>
    <t xml:space="preserve">M30-2-K2</t>
  </si>
  <si>
    <t xml:space="preserve">ثبت داده‌ی حداقل ۹۵٪ شاخص‌های کلان در سامانه تا روز ۱۰ ماه بعد</t>
  </si>
  <si>
    <t xml:space="preserve">M30-3</t>
  </si>
  <si>
    <t xml:space="preserve">هدف: گزارش‌دهی و نظام‌های مدیریتی</t>
  </si>
  <si>
    <t xml:space="preserve">S4: تهیه به موقع و دقیق گزارش های عملکردی کلان سازمان جهت ارائه به مدیریت ارشد و گروه سایپا
S5: استقرار، نگهداشت و ممیزی مستمر سیستم های مدیریتی و استانداردهای بین المللی و اجرای مدل های تعالی سازمانی</t>
  </si>
  <si>
    <t xml:space="preserve">P13 اخذ مجوزهای قانونی از بین‌برنده موانع سنتی صنعت (از شاخص KR)
L5 توسعه فرهنگ بهبود مستمر (از شاخص KR)
L7 توسعه فرهنگ مشتری‌مداری و روحیه پاسخگویی و بهبود مستمر (از شاخص KR)</t>
  </si>
  <si>
    <t xml:space="preserve">M30-3-K1</t>
  </si>
  <si>
    <t xml:space="preserve">M30-3-K2</t>
  </si>
  <si>
    <t xml:space="preserve">M30-3-K3</t>
  </si>
  <si>
    <t xml:space="preserve">حفظ گواهینامه‌ها و اجرای ۱۰۰٪ ممیزی‌های برنامه‌ریزی‌شده</t>
  </si>
  <si>
    <t xml:space="preserve">31. مدیریت تکنولوژی اطلاعات و توسعه فن آوری های نوین   |   معاونت طرح و برنامه</t>
  </si>
  <si>
    <t xml:space="preserve">M31-1</t>
  </si>
  <si>
    <t xml:space="preserve">مدیریت تکنولوژی اطلاعات و توسعه فن آوری های نوین</t>
  </si>
  <si>
    <t xml:space="preserve">هدف: توسعه‌ی سامانه‌ها، هوش تجاری و آموزش کاربران</t>
  </si>
  <si>
    <t xml:space="preserve">S1: توسعه و به روزرسانی سیستم های اطلاعاتی یکپارچه سازمانی منطبق بر طرح ها و پروژه های برنامه ریزی شده
S6: توسعه گزارش های مدیریتی و هوش تجاری (TPS/BSC) جهت پشتیبانی تصمیم گیری راهبردی مدیران
S7: افزایش اثربخشی آموزش سیستم های اطلاعاتی و توانمندسازی کاربران در بهره برداری از نرم افزارها</t>
  </si>
  <si>
    <t xml:space="preserve">C2 نوآوری در پلتفرم ثابت (customer; کسب و کار آپشن)
C2 نوآوری در پلتفرم ثابت (customer; کسب و کار بازرگانی قطعات)
L3 مدیریت دانش (learning; کسب و کار آپشن)
L3 مدیریت دانش (learning; کسب و کار بازرگانی قطعات)
L3 مدیریت دانش (learning; کسب و کار گارانتی خودرو)
L4 توسعه پلتفرم با استفاده از هوش مصنوعی (learning; کسب و کار بازرگانی قطعات)
L5 بهبود و توسعه زیرساخت فناوری اطلاعات (learning; کسب و کار خدمات تعمیراتی)
L5 توسعه فرهنگ بهبود مستمر (learning; کسب و کار آپشن)
L5 توسعه فرهنگ بهبود مستمر (learning; کسب و کار بازرگانی قطعات)
L5 توسعه فرهنگ بهبود مستمر (learning; کسب و کار گارانتی خودرو)
L8 بهبود و توسعه زیرساخت فناوری اطلاعات (learning; کسب و کار بازرگانی قطعات)
L8 مدیریت دانش (learning; کسب و کار خدمات تعمیراتی)
P15 افزایش کاربرد آسان‌بودن پلتفرم (process; کسب و کار بازرگانی قطعات)
P13 اخذ مجوزهای قانونی از بین‌برنده موانع سنتی صنعت (از شاخص KR)
P24 توسعه استانداردهای ملی کاربرد فناوری BlockChain به‌عنوان پلتفرم قطعات یدکی (از شاخص KR)
L6 انتقال دانش به ذی‌نفعان اصلی (از شاخص KR)</t>
  </si>
  <si>
    <t xml:space="preserve">M31-1-K1</t>
  </si>
  <si>
    <t xml:space="preserve">ارتقای «تطابق زمانی اجرای توسعه سیستم با طرح ها و پروژه های برنامه ریزی شده»</t>
  </si>
  <si>
    <t xml:space="preserve">PP-01-06</t>
  </si>
  <si>
    <t xml:space="preserve">M31-1-K2</t>
  </si>
  <si>
    <t xml:space="preserve">ارتقای «میزان اثربخشی آموزش سیستم های اطلاعاتی»</t>
  </si>
  <si>
    <t xml:space="preserve">PP-01-07</t>
  </si>
  <si>
    <t xml:space="preserve">M31-1-K3</t>
  </si>
  <si>
    <t xml:space="preserve">انتشار حداقل ۱۰ گزارش مدیریتی/BI جدید مورد نیاز مدیران</t>
  </si>
  <si>
    <t xml:space="preserve">M31-2</t>
  </si>
  <si>
    <t xml:space="preserve">هدف: خدمات پشتیبانی و رضایت کاربران</t>
  </si>
  <si>
    <t xml:space="preserve">S2: کاهش زمان پاسخگویی به درخواست های پشتیبانی و رفع اشکال سیستم های اطلاعاتی از طریق واحد Help Desk</t>
  </si>
  <si>
    <t xml:space="preserve">C2 نوآوری در پلتفرم ثابت (customer; کسب و کار آپشن)
C2 نوآوری در پلتفرم ثابت (customer; کسب و کار بازرگانی قطعات)
L4 استفاده از هوش مصنوعی در عیب‌یابی (learning; کسب و کار گارانتی خودرو)
L5 بهبود و توسعه زیرساخت فناوری اطلاعات (learning; کسب و کار خدمات تعمیراتی)
L6 استفاده از هوش مصنوعی در عیب‌یابی (learning; کسب و کار خدمات تعمیراتی)
L8 بهبود و توسعه زیرساخت فناوری اطلاعات (learning; کسب و کار بازرگانی قطعات)
L2 پایگاه داده مشتریان و مدیریت دانش (از شاخص KR)</t>
  </si>
  <si>
    <t xml:space="preserve">M31-2-K1</t>
  </si>
  <si>
    <t xml:space="preserve">M31-2-K2</t>
  </si>
  <si>
    <t xml:space="preserve">M31-2-K3</t>
  </si>
  <si>
    <t xml:space="preserve">متوسط زمان رفع درخواست Help Desk حداکثر ۸ ساعت کاری</t>
  </si>
  <si>
    <t xml:space="preserve">M31-3</t>
  </si>
  <si>
    <t xml:space="preserve">هدف: زیرساخت پایدار و امنیت اطلاعات</t>
  </si>
  <si>
    <t xml:space="preserve">S3: افزایش امادگی و سلامت زیرساخت سخت افزاری، دیتاسنتر و تجهزات ذخیره سازی سازمان
S4: ارتقای پایداری و در دسترس بودن سرویس های ارتباطی، شبکه داخلی و اینترنت سازمانی
S5: تقویت امنیت اطلاعات، امنیت شبکه و کاهش آسیب پذیری در برابر حملات سایبری</t>
  </si>
  <si>
    <t xml:space="preserve">F4 هزینه پایین پلتفرم ارتباطی و مولتی‌مدیا (financial; کسب و کار آپشن)
L5 بهبود و توسعه زیرساخت فناوری اطلاعات (learning; کسب و کار خدمات تعمیراتی)
L8 بهبود و توسعه زیرساخت فناوری اطلاعات (learning; کسب و کار بازرگانی قطعات)
P10 توسعه پلتفرم ارتباطی و مولتی‌مدیا (process; کسب و کار آپشن)
L2 پایگاه داده مشتریان و مدیریت دانش (از شاخص KR)
L2 روابط الکترونیک مشتریان با تأمین‌کنندگان قطعات و خدمات (از شاخص KR)
L3 پایگاه داده مشتریان با قابلیت داده‌کاوی (از شاخص KR)
P12 کانال‌های یکپارچه ارتباط و ارائه بسته خدمت (از شاخص KR)</t>
  </si>
  <si>
    <t xml:space="preserve">M31-3-K1</t>
  </si>
  <si>
    <t xml:space="preserve">ارتقای «میزان سخت افزارهای آماده به کار»</t>
  </si>
  <si>
    <t xml:space="preserve">PP-01-01</t>
  </si>
  <si>
    <t xml:space="preserve">M31-3-K2</t>
  </si>
  <si>
    <t xml:space="preserve">M31-3-K3</t>
  </si>
  <si>
    <t xml:space="preserve">M31-3-K4</t>
  </si>
  <si>
    <t xml:space="preserve">اجرای ۱۰۰٪ ارزیابی آسیب‌پذیری فصلی</t>
  </si>
  <si>
    <t xml:space="preserve">32. مدیریت مهندسی فرآیندها و طراحی نرم افزار   |   معاونت طرح و برنامه</t>
  </si>
  <si>
    <t xml:space="preserve">M32-1</t>
  </si>
  <si>
    <t xml:space="preserve">مدیریت مهندسی فرآیندها و طراحی نرم افزار</t>
  </si>
  <si>
    <t xml:space="preserve">هدف: یکپارچگی فرآیندها، سیستم‌های مکانیزه و طراحی نرم‌افزار</t>
  </si>
  <si>
    <t xml:space="preserve">D8-3 — فرآیندهای مستند، یکپارچه و مکانیزه</t>
  </si>
  <si>
    <t xml:space="preserve">S1: ایجاد ارتباط و هماهنگی بین فرآیندها، سیستم های مکانیزه و جریان های اطلاعاتی با هدف یکپارچگی و جلوگیری از موازی کاری
S2: طرح ریزی و طراحی سیستم های نرم افزاری متناسب با نیازهای کسب وکار و فرآیندهای سازمان، با تمرکز بر چابکی، یکپارچگی و قابلیت توسعه
S5: مدیریت و کنترل چرخه عمر فرآیندها و سیستم ها از مرحله نیازسنجی و طراحی تا استقرار، بهره برداری، ارزیابی و بهبود</t>
  </si>
  <si>
    <t xml:space="preserve">M32-1-K1</t>
  </si>
  <si>
    <t xml:space="preserve">طراحی/بازطراحی حداقل ۳ سیستم نرم‌افزاری اولویت‌دار با مستند نیازسنجی</t>
  </si>
  <si>
    <t xml:space="preserve">M32-1-K2</t>
  </si>
  <si>
    <t xml:space="preserve">پوشش چرخه‌ی عمر (نیازسنجی تا ارزیابی) برای ۱۰۰٪ فرآیندهای اولویت‌دار</t>
  </si>
  <si>
    <t xml:space="preserve">M32-2</t>
  </si>
  <si>
    <t xml:space="preserve">هدف: ساختار سازمانی همسو با فرآیندها و پایش مستمر فرآیندها</t>
  </si>
  <si>
    <t xml:space="preserve">S3: طراحی و بروزرسانی ساختار سازمانی همسو با فرآیندهای مصوب و استراتژی های سازمان در حوزه های تامین و فروش
S4: اجرای نظام پایش، ارزیابی و بهبود مستمر فرآیندها و استفاده از نتایج آن برای شناسایی و رفع گلوگاه ها، دوباره کاری ها و بر طرف نمودن نقاط ضعف</t>
  </si>
  <si>
    <t xml:space="preserve">M32-2-K1</t>
  </si>
  <si>
    <t xml:space="preserve">بازطراحی/توسعه‌ی حداقل ۵ فرآیند اولویت‌دار حوزه‌های تأمین و فروش</t>
  </si>
  <si>
    <t xml:space="preserve">M32-2-K2</t>
  </si>
  <si>
    <t xml:space="preserve">به‌روزرسانی ساختار سازمانی ۱۰۰٪ واحدهای متأثر از فرآیندهای مصوب</t>
  </si>
  <si>
    <t xml:space="preserve">M32-2-K3</t>
  </si>
  <si>
    <t xml:space="preserve">شناسایی و رفع حداقل ۱۰ گلوگاه/دوباره‌کاری فرآیندی</t>
  </si>
  <si>
    <t xml:space="preserve">M32-3</t>
  </si>
  <si>
    <t xml:space="preserve">هدف: مدیریت مستندات فرآیندی یکپارچه</t>
  </si>
  <si>
    <t xml:space="preserve">S6: مدیریت مستندات فرآیندی یکپارچه</t>
  </si>
  <si>
    <t xml:space="preserve">P13 اخذ مجوزهای قانونی از بین‌برنده موانع سنتی صنعت (از شاخص KR)
L3 مدیریت دانش (از شاخص KR)
P11 نوآوری در قطعات اختصاصی درون BOM محصول با حمایت‌های قانونی، بیمه، گارانتی، ایمنی و امنیت (از شاخص KR)</t>
  </si>
  <si>
    <t xml:space="preserve">M32-3-K1</t>
  </si>
  <si>
    <t xml:space="preserve">M32-3-K2</t>
  </si>
  <si>
    <t xml:space="preserve">33. مدیریت تدارکات و پشتیبانی   |   معاونت توسعه منابع انسانی و پشتیبانی</t>
  </si>
  <si>
    <t xml:space="preserve">M33-1</t>
  </si>
  <si>
    <t xml:space="preserve">مدیریت تدارکات و پشتیبانی</t>
  </si>
  <si>
    <t xml:space="preserve">هدف: توسعه و یکپارچه‌سازی خدمات پشتیبانی و بهینه‌سازی خرید غیربازرگانی</t>
  </si>
  <si>
    <t xml:space="preserve">D9-2 — خدمات پشتیبانی سریع و رضایت‌بخش</t>
  </si>
  <si>
    <t xml:space="preserve">S1: توسعه و یکپارچه سازی خدمات پشتیبانی
S5: بهینه سازی فرایند خرید و تامین کالاهای غیر بازرگانی با رویکرد افزایش کنترل هزینه و تامین به موقع نیازهای سازمان</t>
  </si>
  <si>
    <t xml:space="preserve">M33-1-K1</t>
  </si>
  <si>
    <t xml:space="preserve">M33-1-K2</t>
  </si>
  <si>
    <t xml:space="preserve">M33-1-K3</t>
  </si>
  <si>
    <t xml:space="preserve">M33-1-K4</t>
  </si>
  <si>
    <t xml:space="preserve">تأمین حداقل ۹۰٪ درخواست‌های خرید غیربازرگانی در زمان استاندارد</t>
  </si>
  <si>
    <t xml:space="preserve">M33-2</t>
  </si>
  <si>
    <t xml:space="preserve">هدف: نگهداری ساختمان‌ها مطابق مبحث ۱۹ و ارتقای ایمنی محیط کار</t>
  </si>
  <si>
    <t xml:space="preserve">S2: توسعه ،نگهداری ساختمان ( رعایت مبحث 19 سازمان) با هدف ارتقاء ایمنی و کیفیت محیط کار</t>
  </si>
  <si>
    <t xml:space="preserve">M33-2-K1</t>
  </si>
  <si>
    <t xml:space="preserve">M33-2-K2</t>
  </si>
  <si>
    <t xml:space="preserve">کاهش «متوسط زمان رسیدگی به درخواستهای خدمات ابنیه- کل»</t>
  </si>
  <si>
    <t xml:space="preserve">HR-78-16</t>
  </si>
  <si>
    <t xml:space="preserve">M33-2-K3</t>
  </si>
  <si>
    <t xml:space="preserve">اجرای ۱۰۰٪ برنامه‌ی بازرسی و رفع نواقص ایمنی ساختمانی مصوب</t>
  </si>
  <si>
    <t xml:space="preserve">M33-3</t>
  </si>
  <si>
    <t xml:space="preserve">هدف: زیرساخت تأسیسات و بهینه‌سازی مصرف و هزینه‌ی انرژی</t>
  </si>
  <si>
    <t xml:space="preserve">D9-3 — فرهنگ بهبود مستمر، ایمنی و پایداری</t>
  </si>
  <si>
    <t xml:space="preserve">S3: ارتقاء پایدار زیرساخت سازمان از طریق توسعه و نگهداری و بهینه سازی تاسیسات و تجهیزات فنی ( حوزه انرژی و حامل های انرژی)
S4: بهینه سازی مصرف و مدیریت هزینه های انرژی سازمان</t>
  </si>
  <si>
    <t xml:space="preserve">M33-3-K1</t>
  </si>
  <si>
    <t xml:space="preserve">M33-3-K2</t>
  </si>
  <si>
    <t xml:space="preserve">کاهش مصرف سرانه‌ی انرژی (برق/گاز/آب) نسبت به ۱۴۰۴</t>
  </si>
  <si>
    <t xml:space="preserve">M33-3-K3</t>
  </si>
  <si>
    <t xml:space="preserve">نگهداری پیشگیرانه‌ی ۱۰۰٪ تأسیسات و تجهیزات فنی طبق برنامه</t>
  </si>
  <si>
    <t xml:space="preserve">34. مدیریت منابع انسانی   |   معاونت توسعه منابع انسانی و پشتیبانی</t>
  </si>
  <si>
    <t xml:space="preserve">M34-1</t>
  </si>
  <si>
    <t xml:space="preserve">مدیریت منابع انسانی</t>
  </si>
  <si>
    <t xml:space="preserve">هدف: مدیریت ریسک و فرصت‌ها، بازمهندسی فرآیندها، تأمین و بهره‌وری</t>
  </si>
  <si>
    <t xml:space="preserve">D9-1 — ارتقای رضایت و اثربخشی سرمایه انسانی</t>
  </si>
  <si>
    <t xml:space="preserve">S1: مدیریت ریسک و فرصت های منابع انسانی
S2: بازمهندسی فرآیندهای منابع انسانی
S3: استقرار برنامه ریزی تامین نیروی انسانی
S4: مدیریت بهره وری نیروی انسانی و استقرار نظام مدیریت عملکرد</t>
  </si>
  <si>
    <t xml:space="preserve">F2 استراتژی بهره‌وری (از شاخص KR)
L4 توسعه فرهنگ مشتری‌مداری و بهبود مستمر برای آن (از شاخص KR)
F2 افزایش بهره‌وری (از شاخص KR)
L7 توسعه فرهنگ مشتری‌مداری و روحیه پاسخگویی و بهبود مستمر (از شاخص KR)</t>
  </si>
  <si>
    <t xml:space="preserve">M34-1-K1</t>
  </si>
  <si>
    <t xml:space="preserve">M34-1-K2</t>
  </si>
  <si>
    <t xml:space="preserve">کاهش «میزان انحراف از سرانه اضافه کار (کل)»</t>
  </si>
  <si>
    <t xml:space="preserve">ot-01-00</t>
  </si>
  <si>
    <t xml:space="preserve">شاخص در سیستم بدون داده (همه مقادیر صفر)</t>
  </si>
  <si>
    <t xml:space="preserve">M34-1-K3</t>
  </si>
  <si>
    <t xml:space="preserve">ارائه ۲ گزارش نیمسالانه‌ی ریسک و فرصت‌های منابع انسانی با اقدام اصلاحی</t>
  </si>
  <si>
    <t xml:space="preserve">M34-1-K4</t>
  </si>
  <si>
    <t xml:space="preserve">استقرار برنامه‌ی تأمین نیروی انسانی سال (پوشش ۱۰۰٪ پست‌های خالی اولویت‌دار)</t>
  </si>
  <si>
    <t xml:space="preserve">M34-2</t>
  </si>
  <si>
    <t xml:space="preserve">هدف: یادگیری و شایستگی، مسیر شغلی، جبران خدمت و انگیزش</t>
  </si>
  <si>
    <t xml:space="preserve">S5: استقرارنظام یادگیری و توسعه مهارتهای عمومی و تخصصی بر اساس مدل شایستگی و متناسب با نیازهای حال و آینده کسب و کار
S6: طراحی و بروزرسانی نظام های پایدار شفاف مسیر شغلی و توسعه نظام جبران خدمت رقابتی
S7: طراحی نظام های انگیزشی متنوع، رقابتی با محوریت عدالت و تامین رضایت تمامی ذینفعان</t>
  </si>
  <si>
    <t xml:space="preserve">L6 انتقال دانش به ذی‌نفعان اصلی (از شاخص KR)
L1 توسعه رویکرد شایستگی‌محور تقویت‌کننده پلتفرم مدیریت زنجیره و استاندارد اجرای قطعات (از شاخص KR)
L1 توسعه رویکرد شایستگی‌محور، مشاغل، جانشین‌پروری و شایسته‌گزینی (از شاخص KR)
L5 تمرکز بر اولویت و ارزش سازمان به آن (از شاخص KR)
L4 توسعه فرهنگ مشتری‌مداری و بهبود مستمر برای آن (از شاخص KR)</t>
  </si>
  <si>
    <t xml:space="preserve">M34-2-K1</t>
  </si>
  <si>
    <t xml:space="preserve">M34-2-K2</t>
  </si>
  <si>
    <t xml:space="preserve">ارتقای «انطباق شرایط احراز کارکنان(پست)»</t>
  </si>
  <si>
    <t xml:space="preserve">HR-100-20</t>
  </si>
  <si>
    <t xml:space="preserve">M34-2-K3</t>
  </si>
  <si>
    <t xml:space="preserve">ارتقای «انطباق شرایط احراز کارکنان- جذب»</t>
  </si>
  <si>
    <t xml:space="preserve">HR-100-05</t>
  </si>
  <si>
    <t xml:space="preserve">M34-2-K4</t>
  </si>
  <si>
    <t xml:space="preserve">ارتقای «میزان انطباق شایستگی کارکنان»</t>
  </si>
  <si>
    <t xml:space="preserve">HR-100-27</t>
  </si>
  <si>
    <t xml:space="preserve">M34-2-K5</t>
  </si>
  <si>
    <t xml:space="preserve">ارتقای «رضایت پرسنل از ارائه تسهیلات رفاهی و خدماتی»</t>
  </si>
  <si>
    <t xml:space="preserve">HR-77-00</t>
  </si>
  <si>
    <t xml:space="preserve">M34-2-K6</t>
  </si>
  <si>
    <t xml:space="preserve">M34-3</t>
  </si>
  <si>
    <t xml:space="preserve">هدف: سلامت و ایمنی، مدیریت دانش و اخلاق حرفه‌ای</t>
  </si>
  <si>
    <t xml:space="preserve">S8: توسعه نظام یکپارچه سلامت، ایمنی کارکنان و محیط زیست
S9: استقرار مدیریت دانش و ثبت تجربیات ارزشمند
S10: ترویج اخلاق حرفه ای با ارزش های سازمانی</t>
  </si>
  <si>
    <t xml:space="preserve">P16 توسعه استانداردهای تعمیراتی برای نگه‌داشت ایمنی و محیط‌زیست (از شاخص KR)
P23 استانداردهای ایمنی و بهداشت شغلی — الزامات زیست‌محیطی (از شاخص KR)
P12 استانداردهای ایمنی و بهداشت شغلی — الزامات زیست‌محیطی (از شاخص KR)
P13 رعایت استانداردهای ایمنی و بهداشت در محیط کار برای کارکنان و مشتریان (از شاخص KR)
L4 توسعه فرهنگ مشتری‌مداری و بهبود مستمر برای آن (از شاخص KR)
P15 مدیریت همکاری با جوامع بهره‌وری و بهبود فرآیند (از شاخص KR)</t>
  </si>
  <si>
    <t xml:space="preserve">M34-3-K1</t>
  </si>
  <si>
    <t xml:space="preserve">M34-3-K2</t>
  </si>
  <si>
    <t xml:space="preserve">کاهش «ضریب شدت تکرار حوادث»</t>
  </si>
  <si>
    <t xml:space="preserve">HR-94-00</t>
  </si>
  <si>
    <t xml:space="preserve">M34-3-K3</t>
  </si>
  <si>
    <t xml:space="preserve">M34-3-K4</t>
  </si>
  <si>
    <t xml:space="preserve">ارتقای «ضریب پیشنهادات پذیرفته شده»</t>
  </si>
  <si>
    <t xml:space="preserve">SN-01-02</t>
  </si>
  <si>
    <t xml:space="preserve">معاونت</t>
  </si>
  <si>
    <t xml:space="preserve">مدیریت</t>
  </si>
  <si>
    <t xml:space="preserve">کد هدف مدیریت</t>
  </si>
  <si>
    <t xml:space="preserve">هدف مدیریت</t>
  </si>
  <si>
    <t xml:space="preserve">کد هدف معاونت</t>
  </si>
  <si>
    <t xml:space="preserve">هدف معاونت</t>
  </si>
  <si>
    <t xml:space="preserve">کد هدف شرکت</t>
  </si>
  <si>
    <t xml:space="preserve">هدف شرکت</t>
  </si>
  <si>
    <t xml:space="preserve">تعداد KR</t>
  </si>
  <si>
    <t xml:space="preserve">استراتژی‌های وظیفه‌ای</t>
  </si>
  <si>
    <t xml:space="preserve">اهداف نقشه‌ی استراتژیک</t>
  </si>
  <si>
    <t xml:space="preserve">تثبیت جایگاه رسانه‌ای و برند «سایپا یدک»</t>
  </si>
  <si>
    <t xml:space="preserve">تقویت اعتبار برند «سایپا یدک» و صدای ذی‌نفعان</t>
  </si>
  <si>
    <t xml:space="preserve">تجربه متمایز مشتری و کیفیت خدمات پس از فروش</t>
  </si>
  <si>
    <t xml:space="preserve">توسعه مسئولیت اجتماعی (CSR) و سرمایه اجتماعی نزد ذی‌نفعان</t>
  </si>
  <si>
    <t xml:space="preserve">سنجش داده‌محور صدای ذی‌نفعان و تبادل دوسویه پیام با مخاطبان</t>
  </si>
  <si>
    <t xml:space="preserve">برگزاری حرفه‌ای رویدادها، نمایشگاه‌ها و تشریفات</t>
  </si>
  <si>
    <t xml:space="preserve">تسریع و استانداردسازی انعقاد قراردادهای سازمان</t>
  </si>
  <si>
    <t xml:space="preserve">صیانت حقوقی، نظارتی و امنیتی از دارایی‌ها و شبکه</t>
  </si>
  <si>
    <t xml:space="preserve">سودآوری و سلامت مالی پایدار شرکت</t>
  </si>
  <si>
    <t xml:space="preserve">تأمین سرمایه در گردش از محل فروش املاک غیرمولد</t>
  </si>
  <si>
    <t xml:space="preserve">مدیریت وثایق شبکه و بهینه‌سازی نرخ وصول مطالبات حقوقی</t>
  </si>
  <si>
    <t xml:space="preserve">حفاظت از مالکیت معنوی و مدیریت حرفه‌ای دعاوی</t>
  </si>
  <si>
    <t xml:space="preserve">رسیدگی سریع و رضایت‌بخش به شکایات (از جمله VIP و مراجع نظارتی)</t>
  </si>
  <si>
    <t xml:space="preserve">رسیدگی سریع و اثربخش به شکایات و کاهش زمان خواب خودرو</t>
  </si>
  <si>
    <t xml:space="preserve">شناسایی الگوهای بحرانی شکایات با تحلیل داده‌محور</t>
  </si>
  <si>
    <t xml:space="preserve">بررسی علل زمان خواب خودرو در شبکه و کاهش هزینه‌های ناشی از آن</t>
  </si>
  <si>
    <t xml:space="preserve">توسعه مدیریت دانش مشتری</t>
  </si>
  <si>
    <t xml:space="preserve">استقرار نظام بازرسی دوره‌ای و داخلی</t>
  </si>
  <si>
    <t xml:space="preserve">صیانت از برند و مقابله با کالای تقلبی</t>
  </si>
  <si>
    <t xml:space="preserve">پیگیری شکایات مربوط به نمایندگی‌ها تا حصول نتیجه</t>
  </si>
  <si>
    <t xml:space="preserve">تأمین امنیت فیزیکی و حفاظت پرسنلی</t>
  </si>
  <si>
    <t xml:space="preserve">حفاظت از اسناد و اطلاعات، امنیت سایبری و ایمنی حریق</t>
  </si>
  <si>
    <t xml:space="preserve">نظارت حراستی بر شبکه نمایندگی و عاملین</t>
  </si>
  <si>
    <t xml:space="preserve">حسابرسی عملیاتی مالی، فروش و قیمت‌گذاری</t>
  </si>
  <si>
    <t xml:space="preserve">مدیریت ریسک و نظارت بر مناقصه/مزایده/قراردادها</t>
  </si>
  <si>
    <t xml:space="preserve">حسابرسی انبار و زنجیره تأمین</t>
  </si>
  <si>
    <t xml:space="preserve">همکاری با حسابرسان مستقل و پیگیری اصلاحات</t>
  </si>
  <si>
    <t xml:space="preserve">تحقق به‌موقع محصولات جدید و ارتقای دستگاه‌های عیب‌یاب شبکه</t>
  </si>
  <si>
    <t xml:space="preserve">داده‌ی فنی دقیق و به‌روز برای شبکه (سریال، TM، مدارک فنی)</t>
  </si>
  <si>
    <t xml:space="preserve">دقت داده‌ی فنی (BOM، سریال، ECN، مدارک فنی)</t>
  </si>
  <si>
    <t xml:space="preserve">یکسان‌سازی TM، نظام‌های کنترلی گارانتی و ابزارهای مخصوص تعمیرات</t>
  </si>
  <si>
    <t xml:space="preserve">کاهش برگشت مشتری و برگشت از فروش به علت کیفیت</t>
  </si>
  <si>
    <t xml:space="preserve">کاهش برگشت مشتری و ارتقای کیفیت قطعات و خدمات</t>
  </si>
  <si>
    <t xml:space="preserve">چابک‌سازی کنترل کیفی ورودی، توسعه منابع تأمین و صیانت از اصالت قطعات</t>
  </si>
  <si>
    <t xml:space="preserve">ارتقای مهارت شبکه، کنترل هزینه کالیبراسیون و مدیریت فراخوان</t>
  </si>
  <si>
    <t xml:space="preserve">ارتقای مهارت و کنترل هزینه‌های کیفی شبکه</t>
  </si>
  <si>
    <t xml:space="preserve">سرمایه انسانی توانمند، دانش‌محور و پایداری عملیاتی</t>
  </si>
  <si>
    <t xml:space="preserve">استقرار آموزش شایستگی‌محور و اثربخش</t>
  </si>
  <si>
    <t xml:space="preserve">توسعه کیفیت و سرمایه انسانی شبکه نمایندگی (DSI، آموزش، سبز)</t>
  </si>
  <si>
    <t xml:space="preserve">تولید محتوای تخصصی، آموزش نوین و تقویم جامع آموزش</t>
  </si>
  <si>
    <t xml:space="preserve">مدیریت دانش، شبکه مربیان و پایش داده‌محور</t>
  </si>
  <si>
    <t xml:space="preserve">رشد و تنوع‌بخشی درآمد تعمیرگاه‌های مرکزی و مدیریت انبار</t>
  </si>
  <si>
    <t xml:space="preserve">رشد درآمد و سودآوری تعمیرگاه‌های مرکزی و خدمات گارانتی</t>
  </si>
  <si>
    <t xml:space="preserve">رشد سهم بازار و درآمد قطعات و خدمات پس از فروش</t>
  </si>
  <si>
    <t xml:space="preserve">حداکثرسازی درآمد اجرت وارانتی/گارانتی، بهره‌وری و سودآوری</t>
  </si>
  <si>
    <t xml:space="preserve">رضایت، کیفیت تعمیر و سرعت خدمت‌دهی</t>
  </si>
  <si>
    <t xml:space="preserve">ارتقای رضایت مشتری و سرعت خدمت‌دهی در شبکه</t>
  </si>
  <si>
    <t xml:space="preserve">ارزیابی و رتبه‌بندی، توسعه متوازن شبکه و پشتیبانی تجاری منطقه‌ای</t>
  </si>
  <si>
    <t xml:space="preserve">ارتقای رضایت مشتریان (CSI) و سرعت پذیرش تا ترخیص</t>
  </si>
  <si>
    <t xml:space="preserve">رضایت (DSI) و ماندگاری سرمایه انسانی نمایندگی‌ها</t>
  </si>
  <si>
    <t xml:space="preserve">کاهش هزینه کلیم و جلوگیری از مغایرت در فرآیند گارانتی</t>
  </si>
  <si>
    <t xml:space="preserve">تسویه‌ی به‌موقع قراردادهای گارانتی و مدیریت انبار برگشتی</t>
  </si>
  <si>
    <t xml:space="preserve">کلینیک فنی، مشاوره فنی (TC) و نمایندگی‌های سبز</t>
  </si>
  <si>
    <t xml:space="preserve">رشد سهم بازار و فروش آپشن در کانال‌های آنلاین و شبکه</t>
  </si>
  <si>
    <t xml:space="preserve">افزایش سهم بازار و درآمد از عاملیت‌ها، آپشن و بسته‌های خدمت</t>
  </si>
  <si>
    <t xml:space="preserve">بهبود سودآوری و ساختار هزینه‌ی قطعات آپشن</t>
  </si>
  <si>
    <t xml:space="preserve">ارتقای سودآوری و رضایت در بسته خدمت و آپشن</t>
  </si>
  <si>
    <t xml:space="preserve">R&amp;D محصولات اختصاصی، پایداری تأمین و خدمات مبتنی بر داده</t>
  </si>
  <si>
    <t xml:space="preserve">بهبود تجربه مشتری و کیفیت نصب/خدمات پس از فروش آپشن</t>
  </si>
  <si>
    <t xml:space="preserve">توسعه کمی و کیفی عاملیت‌ها و کانال‌های فروش و پشتیبانی از آن‌ها</t>
  </si>
  <si>
    <t xml:space="preserve">توسعه سهم بازار با تحقیقات بازار و قیمت‌گذاری هوشمند</t>
  </si>
  <si>
    <t xml:space="preserve">شناسایی زودهنگام ریسک تأمین و مستندسازی دانش بازار</t>
  </si>
  <si>
    <t xml:space="preserve">استقرار شناخت نیاز مشتری، تحقیقات بازار و پایش اثربخشی فروش خدمات</t>
  </si>
  <si>
    <t xml:space="preserve">رشد فروش و تمدید بسته‌های خدمت با آموزش شبکه و بهینه‌سازی ظرفیت</t>
  </si>
  <si>
    <t xml:space="preserve">بهبود حاشیه‌ی سود بسته خدمت و رضایت نمایندگی‌ها</t>
  </si>
  <si>
    <t xml:space="preserve">استقرار نظام هوشمند فروش، CRM و بازاریابی داده‌محور</t>
  </si>
  <si>
    <t xml:space="preserve">شکل‌گیری کسب‌وکار فروش آنلاین و واسطه‌گری</t>
  </si>
  <si>
    <t xml:space="preserve">اعتماد، اصالت، شفافیت و تجربه‌ی مشتری در فروش آنلاین</t>
  </si>
  <si>
    <t xml:space="preserve">توسعه فروش واسطه‌گری: کانال، فروشندگان و تنوع اقلام</t>
  </si>
  <si>
    <t xml:space="preserve">بازاریابی دیجیتال و ارتقای شبکه فروشندگان</t>
  </si>
  <si>
    <t xml:space="preserve">تأمین پایدار قطعات بدنه و بهینه‌سازی موجودی</t>
  </si>
  <si>
    <t xml:space="preserve">تأمین به‌موقع و مطمئن قطعات داخلی و خارجی طبق MRP</t>
  </si>
  <si>
    <t xml:space="preserve">زنجیره تأمین چابک و مدیریت بهینه موجودی قطعات</t>
  </si>
  <si>
    <t xml:space="preserve">فروش هدفمند و تعیین تکلیف اقلام راکد بدنه</t>
  </si>
  <si>
    <t xml:space="preserve">افزایش فروش و سودآوری قطعات بازرگانی</t>
  </si>
  <si>
    <t xml:space="preserve">بسته‌بندی از مبدأ، لجستیک داخلی و کیفیت رنگ‌آمیزی</t>
  </si>
  <si>
    <t xml:space="preserve">شناسایی منابع جدید و تأمین بهینه‌ی قطعات تزئینات و تعلیق</t>
  </si>
  <si>
    <t xml:space="preserve">تحلیل قیمت، کنترل هزینه خرید و قراردادها</t>
  </si>
  <si>
    <t xml:space="preserve">توسعه‌ی فروش و رفع مغایرت‌ها و پیگیری مطالبات تأمین‌کنندگان</t>
  </si>
  <si>
    <t xml:space="preserve">تنوع‌بخشی منابع و تأمین به‌موقع قطعات وارداتی</t>
  </si>
  <si>
    <t xml:space="preserve">توسعه بازارهای صادراتی فعلی و جدید و پشتیبانی از نمایندگی‌های خارج</t>
  </si>
  <si>
    <t xml:space="preserve">توسعه صادرات و تنوع منابع تأمین</t>
  </si>
  <si>
    <t xml:space="preserve">اعتماد شرکای خارجی، ترخیص و عملیات مالی/ارزی</t>
  </si>
  <si>
    <t xml:space="preserve">تأمین چندمنبعی بهینه‌ی قطعات قوای محرکه‌ی غیرگروه</t>
  </si>
  <si>
    <t xml:space="preserve">کنترل هزینه‌ی خرید، قراردادها و سودآوری</t>
  </si>
  <si>
    <t xml:space="preserve">توسعه‌ی فروش و رفع مغایرت ورودی</t>
  </si>
  <si>
    <t xml:space="preserve">تأمین بهینه قوای محرکه‌ی گروه و منابع جایگزین قطعات حیاتی</t>
  </si>
  <si>
    <t xml:space="preserve">توسعه‌ی فروش قوای محرکه‌ی گروه و روانکار</t>
  </si>
  <si>
    <t xml:space="preserve">رفع مغایرت‌ها، کنترل قراردادها و هزینه‌ی خرید</t>
  </si>
  <si>
    <t xml:space="preserve">بهبود سرویس‌ریت قطعات شبکه‌ی نمایندگی‌ها</t>
  </si>
  <si>
    <t xml:space="preserve">مدیریت نقطه سفارش شبکه و تأمین اضطراری</t>
  </si>
  <si>
    <t xml:space="preserve">کنترل مصرف قطعات مارک ۵۰۰ (اضطراری)</t>
  </si>
  <si>
    <t xml:space="preserve">بهینه‌سازی دریافت/ارسال و تخصیص قطعات</t>
  </si>
  <si>
    <t xml:space="preserve">ارسال سریع و دقیق قطعات به شبکه با هزینه‌ی کنترل‌شده</t>
  </si>
  <si>
    <t xml:space="preserve">مدیریت ناوگان/پیمانکاران حمل و طرح بسته‌بندی قطعات</t>
  </si>
  <si>
    <t xml:space="preserve">فضاسازی انبار و انطباق موجودی عینی و سیستمی</t>
  </si>
  <si>
    <t xml:space="preserve">بهینه‌سازی موجودی و گردش قطعات</t>
  </si>
  <si>
    <t xml:space="preserve">تدوین بودجه‌ی سالیانه فروش/تأمین و نیازسنجی ناخالص و خالص</t>
  </si>
  <si>
    <t xml:space="preserve">سفارش‌گذاری بهینه، ابلاغ به‌موقع MRP و کنترل موجودی</t>
  </si>
  <si>
    <t xml:space="preserve">تعیین تکلیف قطعات راکد، توسعه سبد و تحلیل داده فروش</t>
  </si>
  <si>
    <t xml:space="preserve">درآمدزایی از فروش اقلام نامنطبق و مدیریت مزایده‌ی راکد/مازاد</t>
  </si>
  <si>
    <t xml:space="preserve">بازیافت ارزش اقلام نامنطبق و کنترل هزینه‌های لجستیک</t>
  </si>
  <si>
    <t xml:space="preserve">بهینه‌سازی لجستیک و حمل‌ونقل و مدیریت پالت‌های مشترک</t>
  </si>
  <si>
    <t xml:space="preserve">سازماندهی انبار نامنطبق و تسریع تعیین تکلیف</t>
  </si>
  <si>
    <t xml:space="preserve">استقرار بودجه‌ریزی عملیاتی و ساماندهی فرآیند مجامع و کمیسیون معاملات</t>
  </si>
  <si>
    <t xml:space="preserve">پایداری سودآوری و تحقق بودجه</t>
  </si>
  <si>
    <t xml:space="preserve">سودآوری، کنترل هزینه‌ها و ارزیابی اقتصادی طرح‌ها</t>
  </si>
  <si>
    <t xml:space="preserve">صورت‌های مالی تلفیقی و رصد قیمت بازار</t>
  </si>
  <si>
    <t xml:space="preserve">گزارشگری مالی و مالیاتی دقیق و به‌موقع</t>
  </si>
  <si>
    <t xml:space="preserve">ثبت دقیق رویدادهای مالی و محاسبه‌ی بهای تمام‌شده</t>
  </si>
  <si>
    <t xml:space="preserve">کنترل حساب طرف‌حساب‌ها، تعیین مبالغ پرداختنی و تطبیق حساب</t>
  </si>
  <si>
    <t xml:space="preserve">مدیریت نقدینگی، وصول مطالبات و تأمین مالی</t>
  </si>
  <si>
    <t xml:space="preserve">صورتحساب الکترونیکی، هزینه‌های تأمین خارجی و پاسخ‌گویی به حسابرسان</t>
  </si>
  <si>
    <t xml:space="preserve">مدیریت نقدینگی و تأمین مالی متنوع و بهینه</t>
  </si>
  <si>
    <t xml:space="preserve">بهبود وصول مطالبات و پرداخت به‌موقع تعهدات</t>
  </si>
  <si>
    <t xml:space="preserve">ممیزی قبل از پرداخت، مغایرت‌گیری و گزارشگری مالی/مالیاتی دقیق</t>
  </si>
  <si>
    <t xml:space="preserve">حسابداری اموال، حقوق و مزایا و پاسخگویی به مراجع</t>
  </si>
  <si>
    <t xml:space="preserve">امنیت، پایداری و پشتیبان‌گیری/بازیابی پایگاه‌های داده</t>
  </si>
  <si>
    <t xml:space="preserve">زیرساخت، امنیت و خدمات فناوری اطلاعات پایدار</t>
  </si>
  <si>
    <t xml:space="preserve">صحت و یکپارچگی داده و توسعه‌ی اشیای پایگاه داده‌ی سامانه‌ها</t>
  </si>
  <si>
    <t xml:space="preserve">بهبود مدیریت عملیات، تغییرات و فرآیندهای خودکار پایگاه داده</t>
  </si>
  <si>
    <t xml:space="preserve">اجرای مؤثر برنامه راهبردی و نظام ارزیابی عملکرد</t>
  </si>
  <si>
    <t xml:space="preserve">اجرای فرآیند برنامه‌ریزی استراتژیک و کارنامه‌ی شرکت‌های تابعه</t>
  </si>
  <si>
    <t xml:space="preserve">پایش ابتکارات و ارزیابی عملکرد</t>
  </si>
  <si>
    <t xml:space="preserve">گزارش‌دهی و نظام‌های مدیریتی</t>
  </si>
  <si>
    <t xml:space="preserve">توسعه‌ی سامانه‌ها، هوش تجاری و آموزش کاربران</t>
  </si>
  <si>
    <t xml:space="preserve">خدمات پشتیبانی و رضایت کاربران</t>
  </si>
  <si>
    <t xml:space="preserve">زیرساخت پایدار و امنیت اطلاعات</t>
  </si>
  <si>
    <t xml:space="preserve">یکپارچگی فرآیندها، سیستم‌های مکانیزه و طراحی نرم‌افزار</t>
  </si>
  <si>
    <t xml:space="preserve">فرآیندهای مستند، یکپارچه و مکانیزه</t>
  </si>
  <si>
    <t xml:space="preserve">ساختار سازمانی همسو با فرآیندها و پایش مستمر فرآیندها</t>
  </si>
  <si>
    <t xml:space="preserve">مدیریت مستندات فرآیندی یکپارچه</t>
  </si>
  <si>
    <t xml:space="preserve">توسعه و یکپارچه‌سازی خدمات پشتیبانی و بهینه‌سازی خرید غیربازرگانی</t>
  </si>
  <si>
    <t xml:space="preserve">خدمات پشتیبانی سریع و رضایت‌بخش</t>
  </si>
  <si>
    <t xml:space="preserve">نگهداری ساختمان‌ها مطابق مبحث ۱۹ و ارتقای ایمنی محیط کار</t>
  </si>
  <si>
    <t xml:space="preserve">زیرساخت تأسیسات و بهینه‌سازی مصرف و هزینه‌ی انرژی</t>
  </si>
  <si>
    <t xml:space="preserve">فرهنگ بهبود مستمر، ایمنی و پایداری</t>
  </si>
  <si>
    <t xml:space="preserve">مدیریت ریسک و فرصت‌ها، بازمهندسی فرآیندها، تأمین و بهره‌وری</t>
  </si>
  <si>
    <t xml:space="preserve">ارتقای رضایت و اثربخشی سرمایه انسانی</t>
  </si>
  <si>
    <t xml:space="preserve">یادگیری و شایستگی، مسیر شغلی، جبران خدمت و انگیزش</t>
  </si>
  <si>
    <t xml:space="preserve">سلامت و ایمنی، مدیریت دانش و اخلاق حرفه‌ای</t>
  </si>
  <si>
    <t xml:space="preserve">شماره</t>
  </si>
  <si>
    <t xml:space="preserve">استراتژی وظیفه‌ای</t>
  </si>
  <si>
    <t xml:space="preserve">خروجی مورد انتظار</t>
  </si>
  <si>
    <t xml:space="preserve">هدف OKR پوشش‌دهنده</t>
  </si>
  <si>
    <t xml:space="preserve">اهداف نقشه‌ی مرتبط</t>
  </si>
  <si>
    <t xml:space="preserve">تقویت انعکاس رسانه ای فعالیت ها و محصولات شرکت در رسانه های گروه و فضای مجازی</t>
  </si>
  <si>
    <t xml:space="preserve">افزایش پوشش رسانه‌ای و آگاه عمومی از فعالیت‌های شرکت.</t>
  </si>
  <si>
    <t xml:space="preserve">L5 توسعه فرهنگ بهبود مستمر (learning; کسب و کار بازرگانی قطعات)</t>
  </si>
  <si>
    <t xml:space="preserve">توسعه فعالیت های مسئولیت اجتماعی سازمان (CSR) و تقویت سرمایه اجتماعی نزد ذینفعان</t>
  </si>
  <si>
    <t xml:space="preserve">تقویت جایگاه اجتماعی برند سایپا یدک نزد ذینفعان (از جمله شبکه تعمیرگاران).</t>
  </si>
  <si>
    <t xml:space="preserve">P14 توسعه سرمایه اجتماعی نزد تعمیرگاران (process; کسب و کار گارانتی خودرو)</t>
  </si>
  <si>
    <t xml:space="preserve">سنجش مستمر رضایت و نظر ذینفعان (کارکنان، مشتریان، نمایندگی ها) و بازخورد به مدیریت ارشد</t>
  </si>
  <si>
    <t xml:space="preserve">تصمیم‌گیری مبتنی بر داده برای بهبود رضایت ذینفعان.</t>
  </si>
  <si>
    <t xml:space="preserve">P11 پیش‌بینی نیازهای آینده مشتریان (process; کسب و کار بسته خدمت)
L2 پایگاه داده مشتریان و مدیریت دانش (learning; کسب و کار بسته خدمت)
C5 رشد سریع مشتریان (customer; کسب و کار آپشن)
C6 وفادارسازی مشتریان (customer; کسب و کار آپشن)</t>
  </si>
  <si>
    <t xml:space="preserve">مدیریت حرفه ای برگزاری نمایشگاه ها، رویدادها و تشریفات میزبانی مهمانان داخلی و خارجی</t>
  </si>
  <si>
    <t xml:space="preserve">ارتقای تصویر حرفه‌ای سازمان نزد مهمانان و شرکای تجاری.</t>
  </si>
  <si>
    <t xml:space="preserve">L4 توسعه فرهنگ مشتری‌مداری و بهبود مستمر برای آن (learning; کسب و کار بسته خدمت)</t>
  </si>
  <si>
    <t xml:space="preserve">استقرار ابزارهای داده محور برای تبادل دوسویه پیام با مخاطبان</t>
  </si>
  <si>
    <t xml:space="preserve">توسعه برندینگ</t>
  </si>
  <si>
    <t xml:space="preserve">تسریع و استانداردسازی فرآیند انعقاد قراردادهای سازمان</t>
  </si>
  <si>
    <t xml:space="preserve">کاهش متوسط زمان انعقاد قراردادها و تقویت روابط پایدار با شرکای کلیدی.</t>
  </si>
  <si>
    <t xml:space="preserve">P5 روابط پایدار با تعیین‌کنندگان و شرکای کلیدی (process; کسب و کار خدمات تعمیراتی)</t>
  </si>
  <si>
    <t xml:space="preserve">تأمین حداکثری سرمایه در گردش از محل فروش املاک غیرمولد سازمان</t>
  </si>
  <si>
    <t xml:space="preserve">مدیریت وثایق نمایندگیها و عوامل فروش شبکه برای کاهش ریسک مالی سازمان</t>
  </si>
  <si>
    <t xml:space="preserve">کاهش حداکثری ریسک اعتباری ناشی از عاملیت شبکه فروش.</t>
  </si>
  <si>
    <t xml:space="preserve">P1 طراحی مدل توزیع منابع مالی (process; کسب و کار بازرگانی قطعات)
P5 روابط پایدار با تعیین‌کنندگان و شرکای کلیدی (process; کسب و کار خدمات تعمیراتی)</t>
  </si>
  <si>
    <t xml:space="preserve">بهینه سازی نرخ وصول مطالبات حقوقی شده سازمان</t>
  </si>
  <si>
    <t xml:space="preserve">افزایش نسبت وصول مطالبات حقوقی‌شده به کل مطالبات حقوقی سازمان.</t>
  </si>
  <si>
    <t xml:space="preserve">F4 رشد درآمد (financial; کسب و کار خدمات تعمیراتی)</t>
  </si>
  <si>
    <t xml:space="preserve">حفاظت و توسعه مالکیت معنوی شرکت (علائم تجاری، طرح صنعتی، اختراعات) و مقابله با تخلفات</t>
  </si>
  <si>
    <t xml:space="preserve">صیانت از اصالت برند و کاهش عرضه قطعات تقلبی در بازار.</t>
  </si>
  <si>
    <t xml:space="preserve">مدیریت حرفه ای دعاوی قضایی برای کاهش ریسک حقوقی و مالی سازمان</t>
  </si>
  <si>
    <t xml:space="preserve">کاهش ریسک محکومیت مالی/کیفری و حفظ منافع قانونی شرکت.</t>
  </si>
  <si>
    <t xml:space="preserve">رسیدگی به شکایات مشتریان با تمرکز بر افزایش رضایت مشتریان .</t>
  </si>
  <si>
    <t xml:space="preserve">شناسایی الگوهای بحرانی شکایات از طریق تحلیل داده محور</t>
  </si>
  <si>
    <t xml:space="preserve">بررسی علل زمان خواب خودرو در شبکه (گارانتی) و هزینه های ناشی از آن</t>
  </si>
  <si>
    <t xml:space="preserve">کاهش متوسط زمان خواب خودرو در شبکه و کاهش هزینه کلیم.</t>
  </si>
  <si>
    <t xml:space="preserve">F4 کاهش هزینه کلیم (financial; کسب و کار گارانتی خودرو)</t>
  </si>
  <si>
    <t xml:space="preserve">توسعه مدیریت دانش مشتری برای شناخت عمیق تر نیازها و کاهش ریسک مشتری</t>
  </si>
  <si>
    <t xml:space="preserve">افزایش شناخت سازمان از مشتری و کاهش ریسک‌های ناشی از تعامل نامناسب با مشتری.</t>
  </si>
  <si>
    <t xml:space="preserve">L2 پایگاه داده مشتریان و مدیریت دانش (learning; کسب و کار بسته خدمت)
P13 استفاده از تجربه مشتری (process; کسب و کار بازرگانی قطعات)
C5 رشد سریع مشتریان (customer; کسب و کار آپشن)</t>
  </si>
  <si>
    <t xml:space="preserve">رسیدگی تخصصی و سریع به شکایات VIP و مراجع نظارتی/قضایی جهت حفظ اعتبار برند</t>
  </si>
  <si>
    <t xml:space="preserve">کاهش ریسک اعتباری و قانونی ناشی از دعاوی مشتریان و جلب رضایت حداکثری.</t>
  </si>
  <si>
    <t xml:space="preserve">استقرار و اجرای نظام بازرسی دوره‌ای و موردی از شبکه نمایندگی‌های مجاز خدمات پس از فروش</t>
  </si>
  <si>
    <t xml:space="preserve">اطمینان از صحت عملکرد نمایندگی‌های مجاز و رعایت استانداردهای شرکت در سطح شبکه.</t>
  </si>
  <si>
    <t xml:space="preserve">C2 خدمات باکیفیت (customer; کسب و کار بسته خدمت)
P6 کیفیت پایدار تعمیرات (process; کسب و کار گارانتی خودرو)
C1 خدمات باکیفیت (customer; کسب و کار خدمات تعمیراتی)</t>
  </si>
  <si>
    <t xml:space="preserve">مبارزه مستمر با قاچاق، تقلب و تولید و توزیع کالای تقلبی قطعات یدکی خودرو</t>
  </si>
  <si>
    <t xml:space="preserve">کاهش سهم بازار کالای تقلبی و قاچاق و حفاظت از سلامت شبکه رسمی قطعات یدکی.</t>
  </si>
  <si>
    <t xml:space="preserve">نظارت بر اصالت لیبل و هولوگرام امنیتی قطعات در سطح شبکه و بازار جهت صیانت از برند سایپایدک</t>
  </si>
  <si>
    <t xml:space="preserve">جلوگیری از سوءاستفاده از برند سایپا یدک و افزایش اطمینان مشتریان به اصالت قطعات.</t>
  </si>
  <si>
    <t xml:space="preserve">مدیریت و پیگیری شکایات مشتریان و ذینفعان از عملکرد نمایندگی‌ها و شبکه خدمات پس از فروش تا حصول نتیجه</t>
  </si>
  <si>
    <t xml:space="preserve">پاسخگویی مؤثر و شفاف به مشتریان و کاهش تکرار تخلفات مشابه در شبکه.</t>
  </si>
  <si>
    <t xml:space="preserve">P6 کیفیت پایدار تعمیرات (process; کسب و کار گارانتی خودرو)
C1 خدمات باکیفیت (customer; کسب و کار خدمات تعمیراتی)</t>
  </si>
  <si>
    <t xml:space="preserve">بازرسی داخلی فرآیندهای درون‌سازمانی و برون‌سازمانی و تدوین خط‌مشی بازرسی منطبق با قوانین بالادستی</t>
  </si>
  <si>
    <t xml:space="preserve">حاکمیت شفاف و منضبط بر فرآیندهای سازمانی و پیشگیرانه بودن اقدامات بازرسی.</t>
  </si>
  <si>
    <t xml:space="preserve">P23 استانداردهای ایمنی و بهداشت شغلی — الزامات زیست‌محیطی (process; کسب و کار بازرگانی قطعات)
P12 استانداردهای ایمنی و بهداشت شغلی — الزامات زیست‌محیطی (process; کسب و کار آپشن)
P14 الزامات زیست‌محیطی (process; کسب و کار خدمات تعمیراتی)</t>
  </si>
  <si>
    <t xml:space="preserve">تامین امنیت فیزیکی تاسیسات و کنترل تردد کارکنان، مراجعان، کالا و خودرو در سطح شرکت</t>
  </si>
  <si>
    <t xml:space="preserve">کاهش تخلفات ورود و خروج و افزایش سطح امنیت فیزیکی تاسیسات و اماکن تحت پوشش شرکت.</t>
  </si>
  <si>
    <t xml:space="preserve">حفاظت، طبقه بندی و کنترل دسترسی به اسناد، اطلاعات و مدارک محرمانه سازمان</t>
  </si>
  <si>
    <t xml:space="preserve">ارتقای سطح دانش و آگاه کارکنان نسبت به مسائل حفاظتی اسناد و کاهش ریسک افشای اطلاعات محرمانه.</t>
  </si>
  <si>
    <t xml:space="preserve">ارتقای سطح حفاظت پرسنلی، صلاحیت سنجی نیروی انسانی و شناسایی تهدیدات و آسیب های احتمالی نفوذی</t>
  </si>
  <si>
    <t xml:space="preserve">کاهش ریسک نفوذ عناصر نامطلوب و افزایش اطمینان از سلامت و صلاحیت نیروی انسانی سازمان.</t>
  </si>
  <si>
    <t xml:space="preserve">پیشگیری از حوادث آتش سوزی و ارتقای آمادگی ایمنی حریق در مراکز شرکت</t>
  </si>
  <si>
    <t xml:space="preserve">کاهش نقاط ضعف و ریسک آتش‌سوزی و افزایش آمادگی مراکز شرکت در واکنش به حوادث حریق.</t>
  </si>
  <si>
    <t xml:space="preserve">P23 استانداردهای ایمنی و بهداشت شغلی — الزامات زیست‌محیطی (process; کسب و کار بازرگانی قطعات)
P12 استانداردهای ایمنی و بهداشت شغلی — الزامات زیست‌محیطی (process; کسب و کار آپشن)</t>
  </si>
  <si>
    <t xml:space="preserve">نظارت و ارزیابی عملکرد حراستی شبکه نمایندگی، عاملین و دفاتر منطقه ای و ارتقای امنیت شبکه خدمات پس از فروش</t>
  </si>
  <si>
    <t xml:space="preserve">بهبود سطح امنیت و کنترل شبکه نمایندگی و کاهش تخلفات نمایندگان و عاملین.</t>
  </si>
  <si>
    <t xml:space="preserve">ارتقای امنیت شبکه و فناوری اطلاعات و پیشگیری از حملات سایبری و نشت اطلاعات</t>
  </si>
  <si>
    <t xml:space="preserve">کاهش ریسک حملات سایبری و نشت اطلاعات و ارتقای بلوغ امنیت اطلاعات سازمان.</t>
  </si>
  <si>
    <t xml:space="preserve">برنامه ریزی و اجرای حسابرسی های عملیاتی سالانه جهت حصول اطمینان از صحت عملیات مالی و حسابداری شرکت</t>
  </si>
  <si>
    <t xml:space="preserve">حصول اطمینان از صحت گزارش‌های مالی تهیهشده و کاهش ریسک تحریف در دفاتر حسابداری.</t>
  </si>
  <si>
    <t xml:space="preserve">مدیریت ریسک های اثرگذار بر فرآیندهای سازمان و نظارت بر عملکرد واحدها و پیمانکاران</t>
  </si>
  <si>
    <t xml:space="preserve">کاهش عدم انطباقات بالقوه در فرآیندهای سازمان و افزایش اثربخشی سیستم‌های کنترل داخلی.</t>
  </si>
  <si>
    <t xml:space="preserve">نظارت و کنترل بر مزایده ها، مناقصه ها و قراردادهای سازمان و انطباق آنها با آیین نامه ها و دستورالعمل های داخلی</t>
  </si>
  <si>
    <t xml:space="preserve">افزایش شفافیت و انطباق قراردادها و معاملات سازمان با ضوابط داخلی و کاهش ریسک تخلفات قراردادی.</t>
  </si>
  <si>
    <t xml:space="preserve">حسابرسی فروش و خدمات پس از فروش شبکه و کنترل صحت تسویه حساب نمایندگان و عاملین لغو شده</t>
  </si>
  <si>
    <t xml:space="preserve">کاهش مغایرات مالی و افزایش دقت در تسویه‌حساب نمایندگان و عاملین شبکه خدمات پس از فروش.</t>
  </si>
  <si>
    <t xml:space="preserve">کنترل انطباق قیمت گذاری فروش و شناسایی و پیگیری مطالبات مشکوک الوصول شبکه فروش</t>
  </si>
  <si>
    <t xml:space="preserve">کاهش ریسک قیمت‌گذاری غیرمنطبق و افزایش نرخ وصول مطالبات مشکوک‌الوصول شبکه فروش.</t>
  </si>
  <si>
    <t xml:space="preserve">همکاری موثر با حسابرسان مستقل، بازرس قانونی و حسابرسان مالیاتی و پیگیری اجرای موارد مندرج در گزارش های آنان</t>
  </si>
  <si>
    <t xml:space="preserve">افزایش انطباق فرآیندهای سازمان با یافتهیهای حسابرسی مستقل و کاهش تکرار ایرادات گزارش‌شده در دوره‌های بعد.</t>
  </si>
  <si>
    <t xml:space="preserve">حسابرسی انبار و زنجیرۀ تأمین با تمرکز بر کنترل موجودی کالا ، فرآیند ورود و خروج کالا و انطباق فیزیکی و سیستمی موجودیها .</t>
  </si>
  <si>
    <t xml:space="preserve">هماهنگی و نظارت بر تحقق محصول پروژه های خودروسازی گروه سایپا و تدوین برنامه اجرایی داخل سازمان</t>
  </si>
  <si>
    <t xml:space="preserve">افزایش درصد تحقق پروژه‌های محصول گروه و آمادگی به‌موقع شبکه خدمات پس از فروش برای محصولات جدید.</t>
  </si>
  <si>
    <t xml:space="preserve">تهیه و بروزرسانی مدارک فنی و مستندات مهندسی محصولات تحت پوشش (دفترچه راهنما، راهنمای تعمیرات، آیتم های سرویس ادواری)</t>
  </si>
  <si>
    <t xml:space="preserve">افزایش دقت و به‌روز بودن مدارک فنی و مستندات مهندسی در دسترس شبکه خدمات پس از فروش.</t>
  </si>
  <si>
    <t xml:space="preserve">L5 توسعه فرهنگ بهبود مستمر (learning; کسب و کار گارانتی خودرو)
L5 توسعه فرهنگ بهبود مستمر (learning; کسب و کار بازرگانی قطعات)
L5 توسعه فرهنگ بهبود مستمر (learning; کسب و کار آپشن)</t>
  </si>
  <si>
    <t xml:space="preserve">استقرار نظام های کنترلی مورد نیاز حوزه گارانتی</t>
  </si>
  <si>
    <t xml:space="preserve">مدیریت سریال قطعات مهندسی (BOM، کیت ها)</t>
  </si>
  <si>
    <t xml:space="preserve">طراحی و توسعه و یکسان سازی ابزارهای مخصوص و تجهیزات مرتبط با تعمیرات خودروها</t>
  </si>
  <si>
    <t xml:space="preserve">اعمال به موقع آخرین تغییرات مهندسی قطعات خودروها (ECN) در سیستم جامع مهندسی و کیفیت شرکت</t>
  </si>
  <si>
    <t xml:space="preserve">افزایش دقت و سرعت اعمال تغییرات مهندسی قطعات در سیستم و کاهش خطای شناسایی قطعات ناشی از تغییرات اعمال‌نشده.</t>
  </si>
  <si>
    <t xml:space="preserve">تدوین و یکسان سازی زمان استاندارد تعمیرات (TM) شبکه خدمات پس از فروش برای محصولات جدید و موجود</t>
  </si>
  <si>
    <t xml:space="preserve">کاهش خطاهای TM در نمایندگی‌ها و افزایش شفافیت محاسبه هزینه‌های کلیم گارانتی.</t>
  </si>
  <si>
    <t xml:space="preserve">L5 توسعه فرهنگ بهبود مستمر (learning; کسب و کار گارانتی خودرو)
L7 توسعه فرهنگ مشتری‌مداری و روحیه پاسخگویی و بهبود مستمر (learning; کسب و کار خدمات تعمیراتی)</t>
  </si>
  <si>
    <t xml:space="preserve">توسعه، پشتیبانی فنی و ارتقای دستگاه های عیب یاب شبکه نمایندگی جهت اجرای دقیق عیب یابی مطابق پروتکل خودروساز</t>
  </si>
  <si>
    <t xml:space="preserve">افزایش کیفیت و دقت عیب‌یابی خودرو در شبکه نمایندگی و کاهش خطای تشخیص عیب.</t>
  </si>
  <si>
    <t xml:space="preserve">L4 استفاده از هوش مصنوعی در عیب‌یابی (learning; کسب و کار گارانتی خودرو)
L6 استفاده از هوش مصنوعی در عیب‌یابی (learning; کسب و کار خدمات تعمیراتی)</t>
  </si>
  <si>
    <t xml:space="preserve">بهبود فرآیند برگشت از فروش قطعات به علت کیفیت قطعه</t>
  </si>
  <si>
    <t xml:space="preserve">چابک سازی فرآیند بررسی کیفی نمونه قطعات با حفظ الزامات کیفی برای توسعه منابع تامین</t>
  </si>
  <si>
    <t xml:space="preserve">کاهش نرخ برگشت قطعات نصب دوم در نمایندگی ها از طریق پشتیبانی کیفی شکایات مرتبط با قطعات نصب دوم</t>
  </si>
  <si>
    <t xml:space="preserve">کاهش نرخ برگشت قطعات نصب دوم در نمایندگی‌ها و افزایش رضایت مشتری از کیفیت قطعات نصب‌شده.</t>
  </si>
  <si>
    <t xml:space="preserve">P1 افزایش کیفیت قطعات خودرو یا مشارکت خودروساز (process; کسب و کار گارانتی خودرو)</t>
  </si>
  <si>
    <t xml:space="preserve">ارزیابی و ارتقای کیفیت خدمات پس از فروش شبکه از طریق بازدید میدانی کیفی و پایش شاخص های برگشت از تعمیرات</t>
  </si>
  <si>
    <t xml:space="preserve">بهبود مستمر کیفیت خدمات پس از فروش در شبکه نمایندگی و کاهش موارد عدم انطباق شناسایی‌شده.</t>
  </si>
  <si>
    <t xml:space="preserve">مدیریت و کنترل هزینه فرآیندهای نگهداری و کالیبراسیون تجهزات تعمیرگاهی شبکه خدمات پس از فروش</t>
  </si>
  <si>
    <t xml:space="preserve">کاهش هزینه‌های نگهداشت تجهزات تعمیرگاه و افزایش دقت اجرای فرآیندهای کالیبراسیون طبق برنامه.</t>
  </si>
  <si>
    <t xml:space="preserve">L5 توسعه فرهنگ بهبود مستمر (learning; کسب و کار گارانتی خودرو)</t>
  </si>
  <si>
    <t xml:space="preserve">مدیریت فرآیند فراخوان کیفی (Recall) قطعات و کنترل کلیم و هزینه های ناشی از فراخوان خودروساز</t>
  </si>
  <si>
    <t xml:space="preserve">افزایش سرعت و دقت اجرای فراخوان‌های کیفی و کاهش هزینه‌های ناشی از تاخیر در اجرای فراخوان.</t>
  </si>
  <si>
    <t xml:space="preserve">صیانت از اصالت قطعات، توسعه استانداردهای اجباری و پشتیبانی کیفی قطعات</t>
  </si>
  <si>
    <t xml:space="preserve">بازنگری و بهینه سازی فرآیند کنترل محموله های ورودی</t>
  </si>
  <si>
    <t xml:space="preserve">ارزیابی و ارتقاء سطح مهارت پرسنل شبکه و پایش اثر بخشی دوره های آموزشی شبکه</t>
  </si>
  <si>
    <t xml:space="preserve">بهبود شاخص برگشت از تعمیرات مبتنی بر داده های خدمات پس از فروش</t>
  </si>
  <si>
    <t xml:space="preserve">استقرار نظام آموزش مبتنی بر شایستگی و نیازهای واقعی کسب وکار</t>
  </si>
  <si>
    <t xml:space="preserve">توسعه آموزش های نوین، ترکیبی و مشتری محور</t>
  </si>
  <si>
    <t xml:space="preserve">ارتقای اثربخشی آموزش و انتقال مهارت به محیط کار</t>
  </si>
  <si>
    <t xml:space="preserve">استقرار نظام مدیریت و توسعه دانش تخصصی</t>
  </si>
  <si>
    <t xml:space="preserve">استقرار نظام پایش و تحلیل داده محور و اقدامات اصلاحی</t>
  </si>
  <si>
    <t xml:space="preserve">استانداردسازی و تولید محتوای تخصصی دوره های آموزشی فنی</t>
  </si>
  <si>
    <t xml:space="preserve">ارتقای دانش فنی مربیان و کارشناسان فنی شبکه متناسب با محصولات جدید.</t>
  </si>
  <si>
    <t xml:space="preserve">L6 انتقال دانش به ذی‌نفعان اصلی (learning; کسب و کار بسته خدمت)
P1 نصب آسان قطعات جانبی در پلتفرم با سرعت و راحتی بالا (process; کسب و کار آپشن)
P6 توسعه دانش تکمیل‌کنندگان از پلتفرم‌ها (process; کسب و کار آپشن)</t>
  </si>
  <si>
    <t xml:space="preserve">توسعه و مدیریت شبکه مربیان، خبرگان و مراکز تخصصی</t>
  </si>
  <si>
    <t xml:space="preserve">برنامه ریزی و اجرای تقویم جامع آموزش شبکه خدمات فروش</t>
  </si>
  <si>
    <t xml:space="preserve">پوشش کامل و به‌موقع نیازهای آموزشی شبکه فروش و خدمات پس از فروش.</t>
  </si>
  <si>
    <t xml:space="preserve">L3 مدیریت دانش (learning; کسب و کار گارانتی خودرو)
L5 توسعه فرهنگ بهبود مستمر (learning; کسب و کار گارانتی خودرو)
L3 مدیریت دانش (learning; کسب و کار بازرگانی قطعات)
L3 مدیریت دانش (learning; کسب و کار آپشن)
L8 مدیریت دانش (learning; کسب و کار خدمات تعمیراتی)</t>
  </si>
  <si>
    <t xml:space="preserve">بهبود رضایت و وفاداری مشتریان</t>
  </si>
  <si>
    <t xml:space="preserve">کنترل کیفیت تعمیرات و کاهش پذیرش های بالای ۴۸ ساعت</t>
  </si>
  <si>
    <t xml:space="preserve">افزایش درآمد کل تعمیرگاه های مرکزی از طریق تنوع بخشی منابع درآمدی (تعمیرات، آپشن، کارت طلایی، فروش خودرو، قطعات خدماتی)</t>
  </si>
  <si>
    <t xml:space="preserve">افزایش درآمد کل تعمیرگاه‌های مرکزی از منابع متنوع درآمدی.</t>
  </si>
  <si>
    <t xml:space="preserve">F3 استراتژی رشد (financial; کسب و کار بسته خدمت)
F3 استراتژی رشد (financial; کسب و کار گارانتی خودرو)
F3 استراتژی رشد (financial; کسب و کار بازرگانی قطعات)
F3 استراتژی رشد (financial; کسب و کار آپشن)
F1 سود عملیاتی خدمات تعمیراتی (financial; کسب و کار خدمات تعمیراتی)
F3 بیزینس یونیت شدن کسب‌وکار تعمیرگاه مرکزی (financial; کسب و کار خدمات تعمیراتی)
F4 رشد درآمد (financial; کسب و کار خدمات تعمیراتی)</t>
  </si>
  <si>
    <t xml:space="preserve">حداکثرسازی درآمد اجرت وارانتی (تعمیراتی و صافکاری) تعمیرگاه های مرکزی</t>
  </si>
  <si>
    <t xml:space="preserve">افزایش درآمد حاصل از اجرت گارانتی و وارانتی تعمیراتی و صافکاری تعمیرگاه‌های مرکزی.</t>
  </si>
  <si>
    <t xml:space="preserve">F1 سود عملیاتی گارانتی خودرو (financial; کسب و کار گارانتی خودرو)
F6 توسعه درآمد MarkUp و LaborRate (financial; کسب و کار گارانتی خودرو)
P7 حداکثرسازی MarkUp و LaborRate خارجی (process; کسب و کار گارانتی خودرو)</t>
  </si>
  <si>
    <t xml:space="preserve">مدیریت بهینه انبارهای تعمیرگاهی و برنامه ریزی سفارش گذاری</t>
  </si>
  <si>
    <t xml:space="preserve">بهبود بهره وری ایستگاه های کاری و کاهش متوسط زمان پذیرش تا ترخیص خودرو در تعمیرگاه های مرکزی</t>
  </si>
  <si>
    <t xml:space="preserve">افزایش بهره‌وری ایستگاه‌های کاری و کاهش متوسط زمان پذیرش تا ترخیص خودرو.</t>
  </si>
  <si>
    <t xml:space="preserve">F2 استراتژی بهره‌وری (financial; کسب و کار بسته خدمت)
F2 استراتژی بهره‌وری (financial; کسب و کار گارانتی خودرو)
L4 استفاده از هوش مصنوعی در عیب‌یابی (learning; کسب و کار گارانتی خودرو)
F2 استراتژی بهره‌وری (financial; کسب و کار بازرگانی قطعات)
F2 استراتژی بهره‌وری (financial; کسب و کار آپشن)
F2 افزایش بهره‌وری (financial; کسب و کار خدمات تعمیراتی)
F6 استفاده حداکثری از ظرفیت ارائه خدمت و تعیین قطعه (financial; کسب و کار خدمات تعمیراتی)
L6 استفاده از هوش مصنوعی در عیب‌یابی (learning; کسب و کار خدمات تعمیراتی)</t>
  </si>
  <si>
    <t xml:space="preserve">کنترل هزینه های عملیاتی و بیزینس یونیت سازی این کسب وکار</t>
  </si>
  <si>
    <t xml:space="preserve">بهبود سود (زیان) ناخالص تعمیرگاه‌های مرکزی و پیشبرد بیزینس‌یونیت‌سازی این کسب‌وکار.</t>
  </si>
  <si>
    <t xml:space="preserve">F1 سود عملیاتی گارانتی خودرو (financial; کسب و کار گارانتی خودرو)
F1 سود عملیاتی خدمات تعمیراتی (financial; کسب و کار خدمات تعمیراتی)
F3 بیزینس یونیت شدن کسب‌وکار تعمیرگاه مرکزی (financial; کسب و کار خدمات تعمیراتی)</t>
  </si>
  <si>
    <t xml:space="preserve">توسعه و بازنگری مستمر مدل های ارزیابی، رتبه بندی و عارضه یابی نمایندگی ها و رتبه بندی دفاتر منطقه ای</t>
  </si>
  <si>
    <t xml:space="preserve">توسعه کمی و کیفی متوازن شبکه خدمات پس از فروش</t>
  </si>
  <si>
    <t xml:space="preserve">مدیریت و بهبود مستمر شاخص های رضایت نمایندگی ها و رسیدگی به شکایات (DSI)</t>
  </si>
  <si>
    <t xml:space="preserve">توسعه و نگهداشت سرمایه انسانی شبکه نمایندگی از طریق آموزش، جذب پرسنل و آیین نامه های تشویقی و کاهش نرخ خروج نیرو</t>
  </si>
  <si>
    <t xml:space="preserve">افزایش درصد حضور پرسنل نمایندگی در آموزش‌ها و کاهش نرخ خروج نیروی انسانی از نمایندگی‌ها.</t>
  </si>
  <si>
    <t xml:space="preserve">L6 انتقال دانش به ذی‌نفعان اصلی (learning; کسب و کار بسته خدمت)
P6 توسعه دانش تکمیل‌کنندگان از پلتفرم‌ها (process; کسب و کار آپشن)</t>
  </si>
  <si>
    <t xml:space="preserve">مدیریت و بهبود مستمر شاخص های رضایت مشتریان و رسیدگی به شکایات (CSI)</t>
  </si>
  <si>
    <t xml:space="preserve">توسعه کسب وکار و پشتیبانی تجاری از شبکه در منطقه</t>
  </si>
  <si>
    <t xml:space="preserve">مدیریت و کاهش هزینه کلیم قطعات گارانتی از طریق تحلیل دقیق اطلاعات کلیم داخلی و خارجی شبکه</t>
  </si>
  <si>
    <t xml:space="preserve">کاهش هزینه کلیم شبکه و افزایش دقت و سرعت مدیریت کلیم‌های داخلی و خارجی.</t>
  </si>
  <si>
    <t xml:space="preserve">عارضه یابی فرآیندهای گارانتی و جلوگیری از مغایرت کلیم</t>
  </si>
  <si>
    <t xml:space="preserve">انعقاد، مدیریت و تسویه به موقع قراردادهای گارانتی با خودروسازان داخلی و خارجی</t>
  </si>
  <si>
    <t xml:space="preserve">تسریع در نهایی‌سازی قراردادهای گارانتی و افزایش سود عملیاتی کسب‌وکار گارانتی خودرو.</t>
  </si>
  <si>
    <t xml:space="preserve">F1 سود عملیاتی گارانتی خودرو (financial; کسب و کار گارانتی خودرو)</t>
  </si>
  <si>
    <t xml:space="preserve">تشکیل کلینیک فنی و تحلیل عیوب خودروهای جدید داخلی و خارجی و ارائه گزارش کیفی به خودروساز</t>
  </si>
  <si>
    <t xml:space="preserve">افزایش کیفیت قطعات خودرو و بهبود فرآیند عیب‌یابی از طریق بازخوردهای فنی مستمر به خودروساز.</t>
  </si>
  <si>
    <t xml:space="preserve">P1 افزایش کیفیت قطعات خودرو یا مشارکت خودروساز (process; کسب و کار گارانتی خودرو)
L4 استفاده از هوش مصنوعی در عیب‌یابی (learning; کسب و کار گارانتی خودرو)
L6 استفاده از هوش مصنوعی در عیب‌یابی (learning; کسب و کار خدمات تعمیراتی)</t>
  </si>
  <si>
    <t xml:space="preserve">پشتیبانی و ارائه مشاوره فنی تخصصی به شبکه از طریق مرکز مشاوره فنی (TC) جهت کاهش زمان رفع عیب خودرو</t>
  </si>
  <si>
    <t xml:space="preserve">کاهش زمان رفع عیب خودرو و بهبود کیفیت پایدار تعمیرات در شبکه خدمات پس از فروش.</t>
  </si>
  <si>
    <t xml:space="preserve">P6 کیفیت پایدار تعمیرات (process; کسب و کار گارانتی خودرو)</t>
  </si>
  <si>
    <t xml:space="preserve">مدیریت انبار قطعات برگشتی گارانتی، کارشناسی فنی قطعات کلیم شده و کاهش هزینه انبارداری</t>
  </si>
  <si>
    <t xml:space="preserve">کاهش هزینه انبارداری، بسته‌بندی و حمل قطعات گارانتی و افزایش دقت کارشناسی فنی قطعات کلیم‌شده.</t>
  </si>
  <si>
    <t xml:space="preserve">P3 هزینه حداقلی در انبارداری، بسته‌بندی و حمل قطعات گارانتی (process; کسب و کار گارانتی خودرو)</t>
  </si>
  <si>
    <t xml:space="preserve">توسعه نمایندگی های منتخب سبز و ارتقای رعایت استانداردهای زیست محیطی در شبکه خدمات پس از فروش</t>
  </si>
  <si>
    <t xml:space="preserve">افزایش تعداد نمایندگی‌های منتخب سبز و ارتقای تصویر زیست‌محیطی شبکه خدمات پس از فروش.</t>
  </si>
  <si>
    <t xml:space="preserve">L5 توسعه فرهنگ بهبود مستمر (learning; کسب و کار گارانتی خودرو)
P14 الزامات زیست‌محیطی (process; کسب و کار خدمات تعمیراتی)
L7 توسعه فرهنگ مشتری‌مداری و روحیه پاسخگویی و بهبود مستمر (learning; کسب و کار خدمات تعمیراتی)</t>
  </si>
  <si>
    <t xml:space="preserve">رشد سهم بازار آپشن و اکسسوری متناسب با خودروهای سایپا</t>
  </si>
  <si>
    <t xml:space="preserve">بهبود سودآوری و ساختار هزینه قطعات آپشن</t>
  </si>
  <si>
    <t xml:space="preserve">توسعه محصولات و قطعات اختصاصی آپشن بر پایه ایده پردازی و نیازسنجی بازار(R&amp;D)</t>
  </si>
  <si>
    <t xml:space="preserve">افزایش درآمد حاصل از قطعات و اپلیکیشن‌های اختصاصی آپشن.</t>
  </si>
  <si>
    <t xml:space="preserve">F6 درآمد قطعات و اپلیکیشن‌های اختصاصی آپشن (financial; کسب و کار آپشن)</t>
  </si>
  <si>
    <t xml:space="preserve">مدیریت و تضمین پایداری زنجیره تامین قطعات آپشن</t>
  </si>
  <si>
    <t xml:space="preserve">تامین به‌موقع و باکیفیت قطعات آپشن متناسب با تقاضای فروش.</t>
  </si>
  <si>
    <t xml:space="preserve">F1 سود عملیاتی آپشن (financial; کسب و کار آپشن)
F2 استراتژی بهره‌وری (financial; کسب و کار آپشن)</t>
  </si>
  <si>
    <t xml:space="preserve">توسعه کانال فروش اینترنتی و شبکه نمایندگی برای رشد سریع مشتریان</t>
  </si>
  <si>
    <t xml:space="preserve">رشد تعداد مشتریان و افزایش سهم آپشن از بازار.</t>
  </si>
  <si>
    <t xml:space="preserve">F3 استراتژی رشد (financial; کسب و کار بسته خدمت)
F3 استراتژی رشد (financial; کسب و کار گارانتی خودرو)
F3 استراتژی رشد (financial; کسب و کار بازرگانی قطعات)
F3 استراتژی رشد (financial; کسب و کار آپشن)
C5 رشد سریع مشتریان (customer; کسب و کار آپشن)</t>
  </si>
  <si>
    <t xml:space="preserve">افزایش رضایت مشتریان از خدمات و قطعات آپشن.</t>
  </si>
  <si>
    <t xml:space="preserve">F5 درآمد حاصل از مشتریان جدید (financial; کسب و کار آپشن)
C5 رشد سریع مشتریان (customer; کسب و کار آپشن)</t>
  </si>
  <si>
    <t xml:space="preserve">توسعه خدمات و محصولات مبتنی بر اتصال و داده</t>
  </si>
  <si>
    <t xml:space="preserve">توسعه کمی و کیفی عاملیتهای فروش قطعات</t>
  </si>
  <si>
    <t xml:space="preserve">توسعه کانال های فروش قطعات یدکی</t>
  </si>
  <si>
    <t xml:space="preserve">شناسایی زودهنگام قطعات دارای ریسک تأمین</t>
  </si>
  <si>
    <t xml:space="preserve">مستندسازی و تبدیل داده و تجربه به دانش</t>
  </si>
  <si>
    <t xml:space="preserve">استقرار نظام تحقیقات بازار قطعات یدکی جهت رصد مستمر قیمت، رقبا و محاسبه سهم بازار</t>
  </si>
  <si>
    <t xml:space="preserve">تصمیم‌گیری آگاهانه بازاریابی و قیمت‌گذاری بر مبنای داده واقعی بازار.</t>
  </si>
  <si>
    <t xml:space="preserve">L3 مدیریت دانش (learning; کسب و کار بازرگانی قطعات)</t>
  </si>
  <si>
    <t xml:space="preserve">طراحی و اجرای مدل قیمت گذاری هوشمند و پویا قطعات یدکی متناسب با تحولات اقتصادی و رقابتی بازار</t>
  </si>
  <si>
    <t xml:space="preserve">قیمت‌گذاری رقابتی و سودآور برای سبد قطعات یدکی.</t>
  </si>
  <si>
    <t xml:space="preserve">P20 قیمت‌گذاری هوشمند و پویا (process; کسب و کار بازرگانی قطعات)</t>
  </si>
  <si>
    <t xml:space="preserve">پشتیبانی و توانمندسازی شبکه عاملیت های فروش</t>
  </si>
  <si>
    <t xml:space="preserve">افزایش انگیزه و بهره‌وری شبکه عاملیت‌های فروش قطعات.</t>
  </si>
  <si>
    <t xml:space="preserve">P8 استفاده از تجربه مشتری (process; کسب و کار بسته خدمت)
P13 استفاده از تجربه مشتری (process; کسب و کار بازرگانی قطعات)</t>
  </si>
  <si>
    <t xml:space="preserve">توسعه سهم بازار قطعات یدکی</t>
  </si>
  <si>
    <t xml:space="preserve">استقرار نظام مستمر شناسایی و تحلیل نیازها و انتظارات مشتریان</t>
  </si>
  <si>
    <t xml:space="preserve">استقرار نظام تحقیقات بازار و پایش مستمر بازار خدمات خودرو و رصد رقبا، روندهای بازار، رفتار مشتری و فرصت های خدماتی و تحلیل و بهینه سازی قیمت گذاری</t>
  </si>
  <si>
    <t xml:space="preserve">توسعه نظام پایش و اثربخشی فروش و بازار خدمات و شناسایی انحرافات، علل کاهش فروش و اقدامات اصلاحی</t>
  </si>
  <si>
    <t xml:space="preserve">برنامه ریزی و هدف گذاری فروش،آموزش مستمر و تبلیغات در شبکه فروش نمایندگی ها</t>
  </si>
  <si>
    <t xml:space="preserve">افزایش فروش خالص ریالی و تعدادی کارت طلایی در سطح شبکه.</t>
  </si>
  <si>
    <t xml:space="preserve">F3 استراتژی رشد (financial; کسب و کار بسته خدمت)
F3 استراتژی رشد (financial; کسب و کار گارانتی خودرو)
F3 استراتژی رشد (financial; کسب و کار بازرگانی قطعات)
F3 استراتژی رشد (financial; کسب و کار آپشن)
F7 افزایش سهم از هزینه‌های خودروی مشتری (financial; کسب و کار خدمات تعمیراتی)
F8 افزایش درآمد حاصل از مشتریان جدید (financial; کسب و کار خدمات تعمیراتی)</t>
  </si>
  <si>
    <t xml:space="preserve">بهینه سازی قراردادها و آنالیز قیمت خدمات جهت بهبود حاشیه سود ناخالص بسته خدمت</t>
  </si>
  <si>
    <t xml:space="preserve">بهبود حاشیه سود ناخالص بسته خدمت و شفافیت مالی قراردادها.</t>
  </si>
  <si>
    <t xml:space="preserve">F1 سود عملیاتی بسته خدمت (financial; کسب و کار بسته خدمت)
F4 خرید خدمات با حداقل قیمت (financial; کسب و کار بسته خدمت)
F5 استفاده حداکثری از ظرفیت‌های سازمان و شبکه (financial; کسب و کار بسته خدمت)</t>
  </si>
  <si>
    <t xml:space="preserve">بهینه سازی ظرفیت و قابلیت ارائه خدمات متناسب با تقاضای بازار و هماهنگی توسعه خدمات با توان شبکه و ظرفیت عملیاتی</t>
  </si>
  <si>
    <t xml:space="preserve">استقرار نظام هوشمند فروش، مدیریت ارتباط با مشتری و بازاریابی داده محور</t>
  </si>
  <si>
    <t xml:space="preserve">ایجاد نظام اعتماد،اصالت، شفافیت و تجربه مشتری در فروش آنلاین</t>
  </si>
  <si>
    <t xml:space="preserve">استقرار نظام پایش عملکرد، ارزیابی رقبا و توسعه مرحله ای روش های فروش</t>
  </si>
  <si>
    <t xml:space="preserve">طراحی و توسعه کانال های فروش آنلاین و مدل های تجارت الکترونیک واسطه گری جهت افزایش فروش سایپایدک</t>
  </si>
  <si>
    <t xml:space="preserve">افزایش میزان فروش حاصل از واسطه‌گری در پلتفرم‌های فروش نوین.</t>
  </si>
  <si>
    <t xml:space="preserve">F7 درآمد اتصال تکمیل‌کنندگان به پلتفرم‌ها (financial; کسب و کار آپشن)</t>
  </si>
  <si>
    <t xml:space="preserve">جذب و توسعه شبکه فروشندگان، تامین کنندگان و توزیع کنندگان در سیستم فروش واسطه گری</t>
  </si>
  <si>
    <t xml:space="preserve">افزایش تعداد فروشندگان، تامین‌کنندگان و توزیع‌کنندگان جذب‌شده در سیستم فروش واسطه‌گری.</t>
  </si>
  <si>
    <t xml:space="preserve">F3 استراتژی رشد (financial; کسب و کار بسته خدمت)
F3 استراتژی رشد (financial; کسب و کار گارانتی خودرو)
F3 استراتژی رشد (financial; کسب و کار بازرگانی قطعات)
P8 هم‌افزایی تولیدکنندگان گروه (process; کسب و کار بازرگانی قطعات)
F3 استراتژی رشد (financial; کسب و کار آپشن)</t>
  </si>
  <si>
    <t xml:space="preserve">افزایش تنوع اقلام قابل ارائه در پلتفرم فروش واسطه گری جهت پاسخگویی گسترده تر به نیاز مشتریان</t>
  </si>
  <si>
    <t xml:space="preserve">افزایش تنوع اقلام قابل ارائه در پلتفرم فروش واسطه‌گری و پوشش نیازهای متنوع‌تر مشتریان.</t>
  </si>
  <si>
    <t xml:space="preserve">C1 تنوع قطعات و مارک‌ها (customer; کسب و کار بازرگانی قطعات)
P10 کاهش هزینه جستجوی مشتری (process; کسب و کار بازرگانی قطعات)
C1 تنوع قطعات جانبی و اپلیکیشن‌ها (customer; کسب و کار آپشن)</t>
  </si>
  <si>
    <t xml:space="preserve">طراحی فرآیند نگهداشت مشتریان وفادار و تحلیل رفتار کاربران</t>
  </si>
  <si>
    <t xml:space="preserve">افزایش تعداد خریداران به‌صورت منفرد در فروش واسطه‌گری.</t>
  </si>
  <si>
    <t xml:space="preserve">C6 وفاداری مشتریان با خریدهای بزرگ (customer; کسب و کار بازرگانی قطعات)
F5 درآمد حاصل از مشتریان جدید (financial; کسب و کار آپشن)
C5 رشد سریع مشتریان (customer; کسب و کار آپشن)
C6 وفادارسازی مشتریان (customer; کسب و کار آپشن)</t>
  </si>
  <si>
    <t xml:space="preserve">طراحی و اجرای کمپین های بازاریابی دیجیتال و ارتقای شبکه فروشندگان</t>
  </si>
  <si>
    <t xml:space="preserve">بهبود اثربخشی کمپین‌های تبلیغاتی و ارتقای عملکرد شبکه فروشندگان و شرکای تجاری.</t>
  </si>
  <si>
    <t xml:space="preserve">تأمین پایدار و مدیریت ریسک زنجیره تأمین قطعات بدنه</t>
  </si>
  <si>
    <t xml:space="preserve">فروش هدفمند و تعیین تکلیف اقلام راکد قطعات بدنه</t>
  </si>
  <si>
    <t xml:space="preserve">بهینه سازی موجودی و کاهش سرمایه در گردش ملزومات و قطعات</t>
  </si>
  <si>
    <t xml:space="preserve">توسعه بسته بندی از مبدأ و لجستیک داخلی کارآمد</t>
  </si>
  <si>
    <t xml:space="preserve">نظارت بر فرآیند رنگ آمیزی و پوشش قطعات بدنه نزد پیمانکاران جهت تضمین کیفیت و کاهش قطعات ضایعاتی</t>
  </si>
  <si>
    <t xml:space="preserve">کاهش قطعات ضایعاتی رنگ‌آمیزی و افزایش کیفیت قطعات بدنه ارسالی به شبکه.</t>
  </si>
  <si>
    <t xml:space="preserve">F3 بیزینس یونیت شدن کسب‌وکار تعمیرگاه مرکزی (financial; کسب و کار خدمات تعمیراتی)</t>
  </si>
  <si>
    <t xml:space="preserve">شناسایی و ارزیابی منابع جدید تامین قطعات</t>
  </si>
  <si>
    <t xml:space="preserve">تامین بهینه قطعات تزئینات و تعلیق مبتنی بر MRP با مدیریت زنجیره تامین گروه و غیرگروه</t>
  </si>
  <si>
    <t xml:space="preserve">تامین به‌موقع و باکیفیت قطعات تزئینات و تعلیق برای شبکه فروش.</t>
  </si>
  <si>
    <t xml:space="preserve">توسعه فروش قطعات تزئینات و تعلیق از طریق فروشگاه اینترنتی و تبلیغات هدفمند شبکه</t>
  </si>
  <si>
    <t xml:space="preserve">افزایش میزان فروش ریالی قطعات تزئینات و تعلیق و تقویت رابطه با شبکه فروش.</t>
  </si>
  <si>
    <t xml:space="preserve">P17 توسعه کانال توزیع اینترنتی قطعات یکپارچه (process; کسب و کار بازرگانی قطعات)</t>
  </si>
  <si>
    <t xml:space="preserve">تحلیل قیمت خرید و تمام شده قطعات</t>
  </si>
  <si>
    <t xml:space="preserve">مدیریت اجرایی رفع مغایرت های کمی و کیفی قطعات دریافتی و پیگیری مطالبات مالی تامین کنندگان</t>
  </si>
  <si>
    <t xml:space="preserve">کاهش نرخ مغایرت‌های کمی و کیفی و پرداخت به‌موقع مطالبات تامین‌کنندگان.</t>
  </si>
  <si>
    <t xml:space="preserve">F4 کاهش هزینه کلیم (financial; کسب و کار گارانتی خودرو)
P5 شراکت و روابط بلندمدت با تامین‌کننده قطعه و خدمت (process; کسب و کار گارانتی خودرو)
P11 نوآوری در فرآیند توسعه و کنترل شبکه و کلیم (process; کسب و کار گارانتی خودرو)</t>
  </si>
  <si>
    <t xml:space="preserve">کنترل هزینه های خرید و کاهش ریسک زنجیره های تامین .</t>
  </si>
  <si>
    <t xml:space="preserve">کنترل و تنظیم قرار داد های خرید.</t>
  </si>
  <si>
    <t xml:space="preserve">جلب اعتماد طرفهای تجاری و تداوم همکاری با شرکای خارجی</t>
  </si>
  <si>
    <t xml:space="preserve">ارتقاء سهم بازار قطعات یدکی صادراتی در بازارهای صادراتی فعلی</t>
  </si>
  <si>
    <t xml:space="preserve">احیاء و توسعه بازارهای صادراتی جدید</t>
  </si>
  <si>
    <t xml:space="preserve">توسعه و تنوع بخشی منابع تامین خارجی قطعات یدکی با کشف قیمت مطلوب و مدیریت ریسک زنجیره تامین</t>
  </si>
  <si>
    <t xml:space="preserve">تنوع و پایداری منابع تامین خارجی و کاهش وابستگی به تامین‌کننده محدود.</t>
  </si>
  <si>
    <t xml:space="preserve">P7 حداکثرسازی MarkUp و LaborRate خارجی (process; کسب و کار گارانتی خودرو)
P5 تامین بر اساس MRP (process; کسب و کار بازرگانی قطعات)
P4 تامین به‌موقع و باکیفیت قطعات با حداقل قیمت (process; کسب و کار خدمات تعمیراتی)</t>
  </si>
  <si>
    <t xml:space="preserve">پشتیبانی فنی و مالی نمایندگی های خدمات پس از فروش خارج از کشور جهت حداکثرسازی نرخ کارمزد و دستمزد</t>
  </si>
  <si>
    <t xml:space="preserve">حداکثرسازی MarkUp و Labor Rate خارجی و بهبود سودآوری نمایندگی‌های برون‌مرزی.</t>
  </si>
  <si>
    <t xml:space="preserve">P7 حداکثرسازی MarkUp و LaborRate خارجی (process; کسب و کار گارانتی خودرو)</t>
  </si>
  <si>
    <t xml:space="preserve">مدیریت ترخیص و لجستیک واردات قطعات خارجی از گمرک با کنترل هزینه های حمل و بیمه محموله</t>
  </si>
  <si>
    <t xml:space="preserve">ترخیص به‌موقع محموله‌های وارداتی از گمرک با کنترل هزینه‌های حمل و کاهش ریسک آسیب‌دیدگی محموله.</t>
  </si>
  <si>
    <t xml:space="preserve">F7 درآمد اتصال قطعه‌سازان و واردکنندگان به شبکه و مشتری (financial; کسب و کار بازرگانی قطعات)
P7 جذب/حفظ تولیدکنندگان و واردکنندگان قطعات (process; کسب و کار بازرگانی قطعات)
P9 خدمات و مزایا به تولیدکنندگان و واردکنندگان قطعات (process; کسب و کار بازرگانی قطعات)</t>
  </si>
  <si>
    <t xml:space="preserve">مدیریت عملیات مالی و ارزی نمایندگی های خارج از کشور شامل تامین مالی، تسویه ارز و انتقال وجوه</t>
  </si>
  <si>
    <t xml:space="preserve">تسویه به‌موقع مالی و ارزی نمایندگی‌های خارج از کشور و کاهش ریسک تعهدات ارزی معوق.</t>
  </si>
  <si>
    <t xml:space="preserve">P4 مدیریت ریسک مالی (process; کسب و کار گارانتی خودرو)
P1 طراحی مدل توزیع منابع مالی (process; کسب و کار بازرگانی قطعات)</t>
  </si>
  <si>
    <t xml:space="preserve">تامین بهینه قطعات قوای محرکه غیرگروه مبتنی بر MRP و مدیریت چندمنبعی زنجیره تامین</t>
  </si>
  <si>
    <t xml:space="preserve">تامین به‌موقع و باکیفیت قطعات قوای محرکه غیرگروه برای شبکه فروش.</t>
  </si>
  <si>
    <t xml:space="preserve">توسعه فروش قطعات قوای محرکه غیرگروه از طریق فروشگاه اینترنتی و تقویت ارتباط با شبکه عاملیت ها و نمایندگی ها</t>
  </si>
  <si>
    <t xml:space="preserve">افزایش میزان فروش ریالی قطعات قوای محرکه غیرگروه و تقویت رابطه با شبکه فروش.</t>
  </si>
  <si>
    <t xml:space="preserve">F3 استراتژی رشد (financial; کسب و کار بازرگانی قطعات)
C5 رشد سریع فروشگاه‌ها، تعمیرگاه‌ها و مشتریان بزرگ (customer; کسب و کار بازرگانی قطعات)</t>
  </si>
  <si>
    <t xml:space="preserve">شناسایی و توسعه منابع تامین جدید داخلی و خارجی و مدیریت ریسک زنجیره تامین قطعات قوای محرکه</t>
  </si>
  <si>
    <t xml:space="preserve">کاهش وابستگی به تامین‌کنندگان محدود و افزایش تاب‌آوری زنجیره تامین قطعات قوای محرکه.</t>
  </si>
  <si>
    <t xml:space="preserve">P5 شراکت و روابط بلندمدت با تامین‌کننده قطعه و خدمت (process; کسب و کار گارانتی خودرو)
P5 تامین بر اساس MRP (process; کسب و کار بازرگانی قطعات)
P4 تامین به‌موقع و باکیفیت قطعات با حداقل قیمت (process; کسب و کار خدمات تعمیراتی)</t>
  </si>
  <si>
    <t xml:space="preserve">مدیریت اجرایی رفع مغایرت های کمی و کیفی قطعات دریافتی از تامین کنندگان جهت تضمین کیفیت ورودی به انبار</t>
  </si>
  <si>
    <t xml:space="preserve">کاهش نرخ مغایرت‌های کمی و کیفی قطعات ورودی و بهبود دقت موجودی انبار.</t>
  </si>
  <si>
    <t xml:space="preserve">P2 کیفیت توافق‌شده خدمات با تأمین‌کنندگان (process; کسب و کار بسته خدمت)
C3 کیفیت بالا و ثبات (customer; کسب و کار گارانتی خودرو)
P6 کیفیت پایدار تعمیرات (process; کسب و کار گارانتی خودرو)</t>
  </si>
  <si>
    <t xml:space="preserve">تامین بهینه قطعات قوای محرکه گروه با تمرکز بر هم افزایی تولیدکنندگان داخل گروه سایپا</t>
  </si>
  <si>
    <t xml:space="preserve">تامین به‌موقع قطعات قوای محرکه گروه و تقویت هم‌افزایی زنجیره تامین درون‌گروه.</t>
  </si>
  <si>
    <t xml:space="preserve">تامین و توسعه فروش روانکار (روغن و مایعات خودرو) متناسب با نیاز شبکه خدمات پس از فروش</t>
  </si>
  <si>
    <t xml:space="preserve">تامین پیوسته و افزایش فروش ریالی روانکار برای شبکه خدمات پس از فروش.</t>
  </si>
  <si>
    <t xml:space="preserve">توسعه فروش قطعات قوای محرکه گروه از طریق فروشگاه اینترنتی و تقویت رابطه با شبکه عاملیت ها</t>
  </si>
  <si>
    <t xml:space="preserve">افزایش میزان فروش ریالی قطعات قوای محرکه گروه و تقویت رابطه با شبکه فروش.</t>
  </si>
  <si>
    <t xml:space="preserve">مدیریت اجرایی تامین و رفع مغایرت های کمی و کیفی قطعات دریافتی از تولیدکنندگان گروه و روانکار</t>
  </si>
  <si>
    <t xml:space="preserve">شناسایی منابع جایگزین برای قطعات حیاتی و بحرانی خودروساز برای تامین غیرگروه</t>
  </si>
  <si>
    <t xml:space="preserve">بهبود سرویس ریت قطعات شبکه نمایندگیها</t>
  </si>
  <si>
    <t xml:space="preserve">مدیریت نقطه سفارش شبکه</t>
  </si>
  <si>
    <t xml:space="preserve">کنترل و بهینه سازی مصرف قطعات مارک ۵۰۰ / قطعات اضطراری و خدماتی</t>
  </si>
  <si>
    <t xml:space="preserve">کاهش نسبت استفاده از مارک ۵۰۰ به کل مصرف قطعات خدماتی و کنترل هزینه‌های اضطراری.</t>
  </si>
  <si>
    <t xml:space="preserve">بهینه سازی فرآیند دریافت/ ارسال عادی و سریع</t>
  </si>
  <si>
    <t xml:space="preserve">مدیریت بهینه ناوگان و پیمانکاران حمل</t>
  </si>
  <si>
    <t xml:space="preserve">بهینه سازی فضاسازی و نگهداری انبار</t>
  </si>
  <si>
    <t xml:space="preserve">استفاده بهنه از فضای انبار و کاهش ریسک انقضا یا اسقاط قطعات.</t>
  </si>
  <si>
    <t xml:space="preserve">بهینه سازی طرح بسته بندی قطعات</t>
  </si>
  <si>
    <t xml:space="preserve">اطمینان از انطباق موجودی عینی و سیستمی قطعات</t>
  </si>
  <si>
    <t xml:space="preserve">تخصیص بهینه قطعات</t>
  </si>
  <si>
    <t xml:space="preserve">تدوین بودجه سالیانه فروش و تامین به تفکیک ماه و گروه قطعات</t>
  </si>
  <si>
    <t xml:space="preserve">هم‌راستایی برنامه تامین و فروش با بودجه کلان سازمان و اهداف استراتژیک شرکت.</t>
  </si>
  <si>
    <t xml:space="preserve">P4 مدیریت ریسک مالی (process; کسب و کار گارانتی خودرو)
P5 شراکت و روابط بلندمدت با تامین‌کننده قطعه و خدمت (process; کسب و کار گارانتی خودرو)
P5 تامین بر اساس MRP (process; کسب و کار بازرگانی قطعات)
P4 تامین به‌موقع و باکیفیت قطعات با حداقل قیمت (process; کسب و کار خدمات تعمیراتی)</t>
  </si>
  <si>
    <t xml:space="preserve">نیازسنجی سالیانه ناخالص و خالص قطعات</t>
  </si>
  <si>
    <t xml:space="preserve">سفارشگذاری بهینه و ابلاغ به موقع MRP</t>
  </si>
  <si>
    <t xml:space="preserve">کنترل موجودی (گردش، ذخیره احتیاطی و نقطه سفارش ROP</t>
  </si>
  <si>
    <t xml:space="preserve">شناسایی و تعیین تکلیف قطعات راکد و کند گردش</t>
  </si>
  <si>
    <t xml:space="preserve">کاهش نسبت ریالی قطعات تجاری با سن بالای شش ماه و بهبود نقدینگی حاصل از فروش قطعات راکد.</t>
  </si>
  <si>
    <t xml:space="preserve">ارزیابی و توسعه سبد قطعات و تحلیل رقبا</t>
  </si>
  <si>
    <t xml:space="preserve">طراحی مدل ها و الگوریتم تحلیل داده فروش برای بهینه سازی برنامه ریزی</t>
  </si>
  <si>
    <t xml:space="preserve">درآمدزایی از فروش اقلام نامنطبق / خودرو درجه 2</t>
  </si>
  <si>
    <t xml:space="preserve">بهینه سازی فرآیندهای لجستیکی و حمل ونقل</t>
  </si>
  <si>
    <t xml:space="preserve">سازماندهی و مدیریت انبار اقلام نامنطبق/مزایده ای</t>
  </si>
  <si>
    <t xml:space="preserve">افزایش دقت کارشناسی فنی و تسریع فرآیند تعیین تکلیف اقلام نامنطبق در انبار.</t>
  </si>
  <si>
    <t xml:space="preserve">بهینه سازی فرآیند تشخیص و تعیین تکلیف اقلام نامنطبق</t>
  </si>
  <si>
    <t xml:space="preserve">مدیریت برنامه ریزی، نگهداشت و گردش پالت های مشترک در زنجیره توزیع و کاهش ضایعات ناشی از آسیب دیدگی پالت</t>
  </si>
  <si>
    <t xml:space="preserve">کاهش آسیب‌دیدگی و فرسودگی پالت‌ها و افزایش کارآیی چرخه بهره‌برداری پالت‌ها در زنجیره توزیع.</t>
  </si>
  <si>
    <t xml:space="preserve">F2 افزایش بهره‌وری (financial; کسب و کار خدمات تعمیراتی)</t>
  </si>
  <si>
    <t xml:space="preserve">مدیریت بهینه فرآیند مزایده اقلام راکد و مازاد گروه سایپا</t>
  </si>
  <si>
    <t xml:space="preserve">افزایش درآمد حاصل از فروش اقلام نامنطبق (به غیر از خودرو) و افزایش شفافیت فرآیند مزایده.</t>
  </si>
  <si>
    <t xml:space="preserve">استقرار نظام بودجه ریزی عملیاتی دقیق و پایش مستمر تحقق بودجه شرکت و شرکت های تابعه</t>
  </si>
  <si>
    <t xml:space="preserve">هم‌راستایی هزینه‌ها و درآمدهای هر کسب‌وکار با اهداف سودآوری مصوب.</t>
  </si>
  <si>
    <t xml:space="preserve">F1 سود عملیاتی گارانتی خودرو (financial; کسب و کار گارانتی خودرو)
F1 سود عملیاتی آپشن (financial; کسب و کار آپشن)
F1 سود عملیاتی خدمات تعمیراتی (financial; کسب و کار خدمات تعمیراتی)</t>
  </si>
  <si>
    <t xml:space="preserve">تحلیل و کنترل روند هزینه های سازمان و شناسایی فرصت های کاهش هزینه</t>
  </si>
  <si>
    <t xml:space="preserve">کاهش هزینه‌های عملیاتی و بهبود سود خالص شرکت.</t>
  </si>
  <si>
    <t xml:space="preserve">C2 شبکه با حداقل هزینه (customer; کسب و کار گارانتی خودرو)
F4 هزینه پایین پلتفرم (financial; کسب و کار بازرگانی قطعات)
F4 هزینه پایین پلتفرم ارتباطی و مولتی‌مدیا (financial; کسب و کار آپشن)
F5 کاهش هزینه خدمات و قطعات (financial; کسب و کار خدمات تعمیراتی)</t>
  </si>
  <si>
    <t xml:space="preserve">ارزیابی اقتصادی طرح های سرمایه گذاری و پروژه های جدید پیش از تصویب هیات مدیره</t>
  </si>
  <si>
    <t xml:space="preserve">تصمیم‌گیری مبتنی بر تحلیل اقتصادی برای سرمایه‌گذاری‌های جدید.</t>
  </si>
  <si>
    <t xml:space="preserve">P6 سرمایه‌گذاری و طرح‌های مشترک با طرح‌سازان در قطعات یدکی (process; کسب و کار بازرگانی قطعات)
P5 سرمایه‌گذاری مشترک در ایراتورهای پلتفرم ارتباطی (process; کسب و کار آپشن)</t>
  </si>
  <si>
    <t xml:space="preserve">تهیه و ارائه به موقع صورت های مالی تلفیقی شرکت و شرکت های تابعه، منطبق با استانداردهای حسابداری</t>
  </si>
  <si>
    <t xml:space="preserve">ارائه صورت‌های مالی تلفیقی دقیق و به‌موقع به مجمع و ذینفعان.</t>
  </si>
  <si>
    <t xml:space="preserve">P4 مدیریت ریسک مالی (process; کسب و کار گارانتی خودرو)
P5 خودکارسازی فرآیند مالی و مالیاتی معاملات کارمزدی (process; واسطه گری)</t>
  </si>
  <si>
    <t xml:space="preserve">رصد و تحلیل مستمر قیمت بازار و عوامل اقتصادی موثر بر قیمت گذاری</t>
  </si>
  <si>
    <t xml:space="preserve">قیمت‌گذاری هوشمندتر و رقابتی‌تر برای کسب‌وکارها.</t>
  </si>
  <si>
    <t xml:space="preserve">C1 قیمت مناسب نسبت به شبکه و بازار (customer; کسب و کار بسته خدمت)
P20 قیمت‌گذاری هوشمند و پویا (process; کسب و کار بازرگانی قطعات)</t>
  </si>
  <si>
    <t xml:space="preserve">ساماندهی و اجرای شفاف فرآیند برگزاری مجامع، هیات مدیره و کمیسیون معاملات (مناقصه/مزایده)</t>
  </si>
  <si>
    <t xml:space="preserve">حاکمیت شرکتی شفاف و پیگیری قابل ردیابی مصوبات.</t>
  </si>
  <si>
    <t xml:space="preserve">رسیدگی ، کنترل و ثبت رویدادهای مالی مرتبط با عملیات خرید ، فروش و خدمات پس از فروش</t>
  </si>
  <si>
    <t xml:space="preserve">قیمت گذاری سفارشات خرید ، محاسبه بهای تمام شده قطعات و خدمات به تفکیک نوع فعالیت</t>
  </si>
  <si>
    <t xml:space="preserve">بررسی و کنترل قراردادها ، وضعیت حساب مالی اشخاص طرف حساب ( تامین کنندگان،پیمانکاران،نمایندگی ها و...)</t>
  </si>
  <si>
    <t xml:space="preserve">بررسی و تعیین مبالغ قابل پرداخت به اشخاص طرف حساب و صدور درخواست پرداخت برای آنان</t>
  </si>
  <si>
    <t xml:space="preserve">تهیه صورت تطبیق حسابهای مالی فیمابین با شرکت ها و اشخاص طرف حساب</t>
  </si>
  <si>
    <t xml:space="preserve">بررسی ، تایید و ارسال صورتحساب های الکترونیکی (خرید،فروش،گارانتی،فراخوان و... ) به سامانه مودیان مالیاتی</t>
  </si>
  <si>
    <t xml:space="preserve">مدیریت و تسویه به موقع هزینه های تامین خارجی شامل حمل، بیمه و ترخیص کالا</t>
  </si>
  <si>
    <t xml:space="preserve">پرداخت به‌موقع هزینه‌های حمل، بیمه و ترخیص و کاهش تاخیر در ترخیص قطعات وارداتی.</t>
  </si>
  <si>
    <t xml:space="preserve">ارائه اطلاعات مورد نیاز به حسابرسان مستقل جهت ارائه گزارش حسابرسی</t>
  </si>
  <si>
    <t xml:space="preserve">برنامه ریزی وکنترل منابع و مصارف وجوه و مدیریت نقدینگی</t>
  </si>
  <si>
    <t xml:space="preserve">تامین مالی متنوع و بهینه (بانکی، تمدید، تسهیلات، ضمانت نامه ها)</t>
  </si>
  <si>
    <t xml:space="preserve">بهبود وصول به موقع مطالبات (شبکه ، خودروسازان) و کاهش مطالبات معوق</t>
  </si>
  <si>
    <t xml:space="preserve">کاهش دوره وصول مطالبات و کاهش ریسک نقدشوندگی.</t>
  </si>
  <si>
    <t xml:space="preserve">P4 مدیریت ریسک مالی (process; کسب و کار گارانتی خودرو)
P1 طراحی مدل توزیع منابع مالی (process; کسب و کار بازرگانی قطعات)
P2 اعتماد و هوشمندسازی مدیریت پرداخت ارزش در طول زنجیره (process; کسب و کار بازرگانی قطعات)</t>
  </si>
  <si>
    <t xml:space="preserve">پرداخت به موقع و دقیق تعهدات (تامین کنندگان، پیمانکاران، هزینه ها)</t>
  </si>
  <si>
    <t xml:space="preserve">کنترل پیش پرداخت اسناد (ممیزی و رسیدگی قبل از پرداخت)</t>
  </si>
  <si>
    <t xml:space="preserve">مغایرت گیری بانکی و ارزی و تسریع در رفع مغایرت ها</t>
  </si>
  <si>
    <t xml:space="preserve">حسابداری عمومی دقیق، بستن حسابها و گزارشگیری مالی و مالیاتی در مهلت قانونی</t>
  </si>
  <si>
    <t xml:space="preserve">حسابداری اموال و دارایی های ثابت، پروژه ها و بیمه دارایی ها</t>
  </si>
  <si>
    <t xml:space="preserve">حسابداری حقوق و مزایای پرسنل و امور بیمه ای/ مالیاتی و سهام پرسنل</t>
  </si>
  <si>
    <t xml:space="preserve">پاسخگویی به حسابرسان، ممیز مالیاتی و تامین اجتماعی</t>
  </si>
  <si>
    <t xml:space="preserve">مدیریت ریسک و بهبود فرآیندهای مالی (اندازه گیری شاخص، اقدام اصلاحی، الگوبرداری)</t>
  </si>
  <si>
    <t xml:space="preserve">ارتقای امنیت،پایداری و حفاظت پایگاه های داده</t>
  </si>
  <si>
    <t xml:space="preserve">کاهش ریسک از دست رفتن/افشای داده و افزایش در دسترس‌بودن سیستم‌های اطلاعاتی سازمان.</t>
  </si>
  <si>
    <t xml:space="preserve">تضمین صحت، یکپارچگی و قابلیت اتکای اطلاعات</t>
  </si>
  <si>
    <t xml:space="preserve">بهبود مدیریت عملیات، تغییرات و فرآیندهای عملیاتی و خودکار پایگاه داده</t>
  </si>
  <si>
    <t xml:space="preserve">مدیریت پشتیبان گیری و بازیابی اطلاعات و کاهش ریسک های عملیاتی</t>
  </si>
  <si>
    <t xml:space="preserve">توسعه و نگهداری اشیای پایگاه داده موردنیاز سامانه ها و گزارشات</t>
  </si>
  <si>
    <t xml:space="preserve">اجرای فرآیند برنامه ریزی استراتژیک سازمان از تحلیل ذینفعان و محیط تا تدوین و جاری سازی نقشه راهبردها</t>
  </si>
  <si>
    <t xml:space="preserve">نقشه راهبردی مدون و جاری‌سازی‌شده در سطح سازمان با مسیر روشن دستیابی به اهداف.</t>
  </si>
  <si>
    <t xml:space="preserve">طرح ریزی، پایش و کنترل پروژه های ابتکارات استراتژیک و برنامه های عملیاتی سازمان</t>
  </si>
  <si>
    <t xml:space="preserve">تحقق به‌موقع پروژه‌های استراتژیک و برنامه‌های عملیاتی سازمان در چارچوب زمان و بودجه مصوب.</t>
  </si>
  <si>
    <t xml:space="preserve">استقرار و اجرای نظام جامع ارزیابی عملکرد سازمان (شاخص های کلان کسب وکار و کارها) با استفاده از سامانه تخصصی BSC</t>
  </si>
  <si>
    <t xml:space="preserve">ارزیابی دقیق و شفاف عملکرد سازمان در راستای اهداف استراتژیک و پرداخت عادلانه کارانه.</t>
  </si>
  <si>
    <t xml:space="preserve">تهیه به موقع و دقیق گزارش های عملکردی کلان سازمان جهت ارائه به مدیریت ارشد و گروه سایپا</t>
  </si>
  <si>
    <t xml:space="preserve">ارائه به‌موقع و دقیق گزارش‌های عملکردی کلان به گروه سایپا و مدیریت ارشد سازمان.</t>
  </si>
  <si>
    <t xml:space="preserve">استقرار، نگهداشت و ممیزی مستمر سیستم های مدیریتی و استانداردهای بین المللی و اجرای مدل های تعالی سازمانی</t>
  </si>
  <si>
    <t xml:space="preserve">تحقق و پایداری استانداردهای مدیریتی و ارتقای سطح بلوغ تعالی سازمانی و پیشرفت در جوایز تعالی.</t>
  </si>
  <si>
    <t xml:space="preserve">برنامه ریزی و کنترل کارنامه عملکرد شرکت های تابعه گروه سایپا یدک هم راستا با اهداف کلان سازمان</t>
  </si>
  <si>
    <t xml:space="preserve">هم‌راستایی عملکرد شرکت‌های تابعه با اهداف کلان گروه سایپا یدک و شفافیت در ارزیابی عملکرد آنها.</t>
  </si>
  <si>
    <t xml:space="preserve">توسعه و به روزرسانی سیستم های اطلاعاتی یکپارچه سازمانی منطبق بر طرح ها و پروژه های برنامه ریزی شده</t>
  </si>
  <si>
    <t xml:space="preserve">تطابق زمانی اجرای توسعه سیستم با طرح‌ها و پروژه‌های برنامه‌ریزی‌شده و ارتقای زیرساخت فناوری اطلاعات.</t>
  </si>
  <si>
    <t xml:space="preserve">L3 مدیریت دانش (learning; کسب و کار گارانتی خودرو)
C2 نوآوری در پلتفرم ثابت (customer; کسب و کار بازرگانی قطعات)
L3 مدیریت دانش (learning; کسب و کار بازرگانی قطعات)
L4 توسعه پلتفرم با استفاده از هوش مصنوعی (learning; کسب و کار بازرگانی قطعات)
C2 نوآوری در پلتفرم ثابت (customer; کسب و کار آپشن)
L3 مدیریت دانش (learning; کسب و کار آپشن)
L5 بهبود و توسعه زیرساخت فناوری اطلاعات (learning; کسب و کار خدمات تعمیراتی)
L8 مدیریت دانش (learning; کسب و کار خدمات تعمیراتی)
L8 بهبود و توسعه زیرساخت فناوری اطلاعات (learning; کسب و کار بازرگانی قطعات)</t>
  </si>
  <si>
    <t xml:space="preserve">کاهش زمان پاسخگویی به درخواست های پشتیبانی و رفع اشکال سیستم های اطلاعاتی از طریق واحد Help Desk</t>
  </si>
  <si>
    <t xml:space="preserve">کاهش میانگین زمان پاسخگویی به درخواست‌های مربوط به اشکال در سیستم‌های اطلاعاتی و افزایش رضایت کارکنان.</t>
  </si>
  <si>
    <t xml:space="preserve">L4 استفاده از هوش مصنوعی در عیب‌یابی (learning; کسب و کار گارانتی خودرو)
C2 نوآوری در پلتفرم ثابت (customer; کسب و کار بازرگانی قطعات)
C2 نوآوری در پلتفرم ثابت (customer; کسب و کار آپشن)
L5 بهبود و توسعه زیرساخت فناوری اطلاعات (learning; کسب و کار خدمات تعمیراتی)
L6 استفاده از هوش مصنوعی در عیب‌یابی (learning; کسب و کار خدمات تعمیراتی)
L8 بهبود و توسعه زیرساخت فناوری اطلاعات (learning; کسب و کار بازرگانی قطعات)</t>
  </si>
  <si>
    <t xml:space="preserve">افزایش امادگی و سلامت زیرساخت سخت افزاری، دیتاسنتر و تجهزات ذخیره سازی سازمان</t>
  </si>
  <si>
    <t xml:space="preserve">افزایش میزان سخت‌افزارهای آماده به کار در دفتر مرکزی، انبارها و تعمیرگاه‌های مرکزی و بهبود رضایت کارکنان از خدمات سخت‌افزاری.</t>
  </si>
  <si>
    <t xml:space="preserve">ارتقای پایداری و در دسترس بودن سرویس های ارتباطی، شبکه داخلی و اینترنت سازمانی</t>
  </si>
  <si>
    <t xml:space="preserve">افزایش میزان در دسترس بودن سرویس‌های ارتباطی و پایداری شبکه سازمانی.</t>
  </si>
  <si>
    <t xml:space="preserve">F4 هزینه پایین پلتفرم ارتباطی و مولتی‌مدیا (financial; کسب و کار آپشن)
P10 توسعه پلتفرم ارتباطی و مولتی‌مدیا (process; کسب و کار آپشن)
L5 بهبود و توسعه زیرساخت فناوری اطلاعات (learning; کسب و کار خدمات تعمیراتی)
L8 بهبود و توسعه زیرساخت فناوری اطلاعات (learning; کسب و کار بازرگانی قطعات)</t>
  </si>
  <si>
    <t xml:space="preserve">تقویت امنیت اطلاعات، امنیت شبکه و کاهش آسیب پذیری در برابر حملات سایبری</t>
  </si>
  <si>
    <t xml:space="preserve">کاهش تعداد حملات سایبری موثر و افزایش تاب‌آوری زیرساخت فناوری اطلاعات سازمان.</t>
  </si>
  <si>
    <t xml:space="preserve">توسعه گزارش های مدیریتی و هوش تجاری (TPS/BSC) جهت پشتیبانی تصمیم گیری راهبردی مدیران</t>
  </si>
  <si>
    <t xml:space="preserve">بهبود کیفیت و سرعت دسترسی مدیران به اطلاعات مدیریتی جهت تصمیم‌گیری‌های راهبردی.</t>
  </si>
  <si>
    <t xml:space="preserve">L3 مدیریت دانش (learning; کسب و کار گارانتی خودرو)
L5 توسعه فرهنگ بهبود مستمر (learning; کسب و کار گارانتی خودرو)
L3 مدیریت دانش (learning; کسب و کار بازرگانی قطعات)
L4 توسعه پلتفرم با استفاده از هوش مصنوعی (learning; کسب و کار بازرگانی قطعات)
L5 توسعه فرهنگ بهبود مستمر (learning; کسب و کار بازرگانی قطعات)
L3 مدیریت دانش (learning; کسب و کار آپشن)
L5 توسعه فرهنگ بهبود مستمر (learning; کسب و کار آپشن)
L8 مدیریت دانش (learning; کسب و کار خدمات تعمیراتی)</t>
  </si>
  <si>
    <t xml:space="preserve">افزایش اثربخشی آموزش سیستم های اطلاعاتی و توانمندسازی کاربران در بهره برداری از نرم افزارها</t>
  </si>
  <si>
    <t xml:space="preserve">افزایش میزان اثربخشی آموزش سیستم‌های اطلاعاتی و کاهش خطاهای کاربری در بهره‌برداری از نرم‌افزارها.</t>
  </si>
  <si>
    <t xml:space="preserve">L3 مدیریت دانش (learning; کسب و کار گارانتی خودرو)
L5 توسعه فرهنگ بهبود مستمر (learning; کسب و کار گارانتی خودرو)
P15 افزایش کاربرد آسان‌بودن پلتفرم (process; کسب و کار بازرگانی قطعات)
L3 مدیریت دانش (learning; کسب و کار بازرگانی قطعات)
L5 توسعه فرهنگ بهبود مستمر (learning; کسب و کار بازرگانی قطعات)
L3 مدیریت دانش (learning; کسب و کار آپشن)
L5 توسعه فرهنگ بهبود مستمر (learning; کسب و کار آپشن)
L8 مدیریت دانش (learning; کسب و کار خدمات تعمیراتی)</t>
  </si>
  <si>
    <t xml:space="preserve">ایجاد ارتباط و هماهنگی بین فرآیندها، سیستم های مکانیزه و جریان های اطلاعاتی با هدف یکپارچگی و جلوگیری از موازی کاری</t>
  </si>
  <si>
    <t xml:space="preserve">طرح ریزی و طراحی سیستم های نرم افزاری متناسب با نیازهای کسب وکار و فرآیندهای سازمان، با تمرکز بر چابکی، یکپارچگی و قابلیت توسعه</t>
  </si>
  <si>
    <t xml:space="preserve">طراحی و بروزرسانی ساختار سازمانی همسو با فرآیندهای مصوب و استراتژی های سازمان در حوزه های تامین و فروش</t>
  </si>
  <si>
    <t xml:space="preserve">افزایش انطباق ساختار سازمانی با فرآیندهای کسب‌وکار و کاهش تداخل مسئولیت‌ها بین واحدهای سازمانی.</t>
  </si>
  <si>
    <t xml:space="preserve">اجرای نظام پایش، ارزیابی و بهبود مستمر فرآیندها و استفاده از نتایج آن برای شناسایی و رفع گلوگاه ها، دوباره کاری ها و بر طرف نمودن نقاط ضعف</t>
  </si>
  <si>
    <t xml:space="preserve">مدیریت و کنترل چرخه عمر فرآیندها و سیستم ها از مرحله نیازسنجی و طراحی تا استقرار، بهره برداری، ارزیابی و بهبود</t>
  </si>
  <si>
    <t xml:space="preserve">توسعه و یکپارچه سازی خدمات پشتیبانی</t>
  </si>
  <si>
    <t xml:space="preserve">توسعه ،نگهداری ساختمان ( رعایت مبحث 19 سازمان) با هدف ارتقاء ایمنی و کیفیت محیط کار</t>
  </si>
  <si>
    <t xml:space="preserve">ارتقاء پایدار زیرساخت سازمان از طریق توسعه و نگهداری و بهینه سازی تاسیسات و تجهیزات فنی ( حوزه انرژی و حامل های انرژی)</t>
  </si>
  <si>
    <t xml:space="preserve">بهینه سازی مصرف و مدیریت هزینه های انرژی سازمان</t>
  </si>
  <si>
    <t xml:space="preserve">بهینه سازی فرایند خرید و تامین کالاهای غیر بازرگانی با رویکرد افزایش کنترل هزینه و تامین به موقع نیازهای سازمان</t>
  </si>
  <si>
    <t xml:space="preserve">مدیریت ریسک و فرصت های منابع انسانی</t>
  </si>
  <si>
    <t xml:space="preserve">بازمهندسی فرآیندهای منابع انسانی</t>
  </si>
  <si>
    <t xml:space="preserve">استقرار برنامه ریزی تامین نیروی انسانی</t>
  </si>
  <si>
    <t xml:space="preserve">مدیریت بهره وری نیروی انسانی و استقرار نظام مدیریت عملکرد</t>
  </si>
  <si>
    <t xml:space="preserve">استقرارنظام یادگیری و توسعه مهارتهای عمومی و تخصصی بر اساس مدل شایستگی و متناسب با نیازهای حال و آینده کسب و کار</t>
  </si>
  <si>
    <t xml:space="preserve">طراحی و بروزرسانی نظام های پایدار شفاف مسیر شغلی و توسعه نظام جبران خدمت رقابتی</t>
  </si>
  <si>
    <t xml:space="preserve">طراحی نظام های انگیزشی متنوع، رقابتی با محوریت عدالت و تامین رضایت تمامی ذینفعان</t>
  </si>
  <si>
    <t xml:space="preserve">توسعه نظام یکپارچه سلامت، ایمنی کارکنان و محیط زیست</t>
  </si>
  <si>
    <t xml:space="preserve">استقرار مدیریت دانش و ثبت تجربیات ارزشمند</t>
  </si>
  <si>
    <t xml:space="preserve">ترویج اخلاق حرفه ای با ارزش های سازمانی</t>
  </si>
  <si>
    <t xml:space="preserve">شاخص</t>
  </si>
  <si>
    <t xml:space="preserve">هدف ۱۴۰۴</t>
  </si>
  <si>
    <t xml:space="preserve">هدف ۱۴۰۵ (ثبت‌شده)</t>
  </si>
  <si>
    <t xml:space="preserve">عملکرد ۱۴۰۵ تا تاریخ</t>
  </si>
  <si>
    <t xml:space="preserve">توضیح</t>
  </si>
  <si>
    <t xml:space="preserve">CRM-05-00</t>
  </si>
  <si>
    <t xml:space="preserve">نسبت شکایات مختومه ماهانه به کل شکایات</t>
  </si>
  <si>
    <t xml:space="preserve">پایش جاری (BAU)</t>
  </si>
  <si>
    <t xml:space="preserve">CRM-16-02</t>
  </si>
  <si>
    <t xml:space="preserve">متوسط زمان خواب خودروها در شبکه (با برند همکاران تجاری در شبکه)</t>
  </si>
  <si>
    <t xml:space="preserve">CRM-05-01</t>
  </si>
  <si>
    <t xml:space="preserve">درصد پرونده های مختومه شده در سال جاری</t>
  </si>
  <si>
    <t xml:space="preserve">S-143-05</t>
  </si>
  <si>
    <t xml:space="preserve">درآمد حاصل از حق الزحمه فروش خودرو در تعمیرگاه های مرکزی</t>
  </si>
  <si>
    <t xml:space="preserve">N-108-02</t>
  </si>
  <si>
    <t xml:space="preserve">رضایت مشتریان از خدمات تعمیرگاه های مرکزی امتیاز کل(سایپا و پارس خودرو)</t>
  </si>
  <si>
    <t xml:space="preserve">N-108-01</t>
  </si>
  <si>
    <t xml:space="preserve">رضایت مشتریان از خدمات تعمیرگاه های مرکزی امتیاز کل- پارس خودرو</t>
  </si>
  <si>
    <t xml:space="preserve">CRM-21-00</t>
  </si>
  <si>
    <t xml:space="preserve">رضایت مشتریان از خدمات پس از فروش امتیاز کل(متوسط سه خودروساز)</t>
  </si>
  <si>
    <t xml:space="preserve">CRM-21-03</t>
  </si>
  <si>
    <t xml:space="preserve">رضایت مشتریان از خدمات پس از فروش امتیاز کل (زامیاد)</t>
  </si>
  <si>
    <t xml:space="preserve">VP-01-01</t>
  </si>
  <si>
    <t xml:space="preserve">انحراف از نصب قطعات VOR</t>
  </si>
  <si>
    <t xml:space="preserve">N-02-04</t>
  </si>
  <si>
    <t xml:space="preserve">رضایت نمایندگی ها از شرکت DSI (داخلی)</t>
  </si>
  <si>
    <t xml:space="preserve">N-13-00</t>
  </si>
  <si>
    <t xml:space="preserve">درصد نمایندگی‌های رتبه 1 (سه خودروساز)</t>
  </si>
  <si>
    <t xml:space="preserve">N-13-01</t>
  </si>
  <si>
    <t xml:space="preserve">درصد نمایندگی‌های رتبه 2 (سه خودروساز)</t>
  </si>
  <si>
    <t xml:space="preserve">N-13-02</t>
  </si>
  <si>
    <t xml:space="preserve">درصد نمایندگی‌های رتبه 3 (سه خودروساز)</t>
  </si>
  <si>
    <t xml:space="preserve">P-29-01</t>
  </si>
  <si>
    <t xml:space="preserve">فروش تعدادی خالص قطعات آپشن (OEM افلاین اختیاری)</t>
  </si>
  <si>
    <t xml:space="preserve">P-30-01</t>
  </si>
  <si>
    <t xml:space="preserve">فروش تعدادی خالص قطعات آپشن (AM)</t>
  </si>
  <si>
    <t xml:space="preserve">C-264-02</t>
  </si>
  <si>
    <t xml:space="preserve">میزان تعدادی تامین قطعات آپشن</t>
  </si>
  <si>
    <t xml:space="preserve">RC-01-01</t>
  </si>
  <si>
    <t xml:space="preserve">میزان درخواست های اخذ شده قطعات آپشن -AM</t>
  </si>
  <si>
    <t xml:space="preserve">AP-01-01</t>
  </si>
  <si>
    <t xml:space="preserve">میانگین دوره مالی تعهد شده فروش قطعات آپشن</t>
  </si>
  <si>
    <t xml:space="preserve">SP-22-01</t>
  </si>
  <si>
    <t xml:space="preserve">سود ناخالص قطعات بازرگانی (آپشن)</t>
  </si>
  <si>
    <t xml:space="preserve">S-41-01</t>
  </si>
  <si>
    <t xml:space="preserve">فروش خالص ریالی کارت طلایی (اختیاری کارکرده)</t>
  </si>
  <si>
    <t xml:space="preserve">S-43-01</t>
  </si>
  <si>
    <t xml:space="preserve">فروش خالص تعدادی کارت طلایی (اختیاری نو)</t>
  </si>
  <si>
    <t xml:space="preserve">S-43-02</t>
  </si>
  <si>
    <t xml:space="preserve">فروش خالص تعدادی کارت طلایی (اختیاری کارکرده)</t>
  </si>
  <si>
    <t xml:space="preserve">C-258-13</t>
  </si>
  <si>
    <t xml:space="preserve">میزان ریالی تامین قطعات یدکی بازرگانی برند یک (بدنه و ملزومات بسته بندی)</t>
  </si>
  <si>
    <t xml:space="preserve">بدون داده (همه صفر)</t>
  </si>
  <si>
    <t xml:space="preserve">C-261-04</t>
  </si>
  <si>
    <t xml:space="preserve">تأمین تعدادی قطعات یدکی برند یک طبق MRP - خارج</t>
  </si>
  <si>
    <t xml:space="preserve">SP-218-00</t>
  </si>
  <si>
    <t xml:space="preserve">نسبت منابع مالی تخصیص داده شده به کسب و کار آپشن به فروش آپشن (AM)- به قیمت خرید</t>
  </si>
  <si>
    <t xml:space="preserve">SP-230-00</t>
  </si>
  <si>
    <t xml:space="preserve">پرداخت به موقع هزینه های مربوط به حمل</t>
  </si>
  <si>
    <t xml:space="preserve">SP-231-00</t>
  </si>
  <si>
    <t xml:space="preserve">پرداخت به موقع هزینه های مربوط به ملزومات</t>
  </si>
  <si>
    <t xml:space="preserve">SP-232-00</t>
  </si>
  <si>
    <t xml:space="preserve">پرداخت به موقع هزینه های مربوط به ED</t>
  </si>
  <si>
    <t xml:space="preserve">EF-01-01</t>
  </si>
  <si>
    <t xml:space="preserve">دوره وصول مطالبات - غیرحقوقی</t>
  </si>
  <si>
    <t xml:space="preserve">EF-01-06</t>
  </si>
  <si>
    <t xml:space="preserve">نسبت وصول مطالبات خدمات پس از فروش از خودروساز (پارس خودرو)</t>
  </si>
  <si>
    <t xml:space="preserve">EF-01-07</t>
  </si>
  <si>
    <t xml:space="preserve">نسبت وصول مطالبات خدمات پس از فروش از خودرو ساز (زامیاد )</t>
  </si>
  <si>
    <t xml:space="preserve">HR-76-06</t>
  </si>
  <si>
    <t xml:space="preserve">پرداخت به موقع پرونده های درمان پرسنل (از زمان تحویل کامل مدارک به مدیریت حسابداری مالی تا پرداخت هزینه های درمان به پرسنل)</t>
  </si>
  <si>
    <t xml:space="preserve">PP-01-20</t>
  </si>
  <si>
    <t xml:space="preserve">میزان سخت افزارهای آماده به کار - انبارها و تعمیرگاه های مرکزی</t>
  </si>
  <si>
    <t xml:space="preserve">PP-01-21</t>
  </si>
  <si>
    <t xml:space="preserve">میزان سخت افزارهای آماده به کار - دفترمرکزی</t>
  </si>
  <si>
    <t xml:space="preserve">HR-78-02</t>
  </si>
  <si>
    <t xml:space="preserve">متوسط زمان رسیدگی به درخواستهای خدمات فنی - انبارها</t>
  </si>
  <si>
    <t xml:space="preserve">HR-78-05</t>
  </si>
  <si>
    <t xml:space="preserve">متوسط زمان رسیدگی به درخواستهای خدمات فنی- تعمیرگاه مرکزی</t>
  </si>
  <si>
    <t xml:space="preserve">HR-78-03</t>
  </si>
  <si>
    <t xml:space="preserve">متوسط زمان رسیدگی به درخواستهای خدمات فنی- دفتر مرکزی</t>
  </si>
  <si>
    <t xml:space="preserve">HR-78-12</t>
  </si>
  <si>
    <t xml:space="preserve">متوسط زمان رسیدگی به درخواستهای خدمات ابنیه- انبارها</t>
  </si>
  <si>
    <t xml:space="preserve">HR-78-15</t>
  </si>
  <si>
    <t xml:space="preserve">متوسط زمان رسیدگی به درخواستهای خدمات ابنیه- تعمیرگاه مرکزی</t>
  </si>
  <si>
    <t xml:space="preserve">HR-78-13</t>
  </si>
  <si>
    <t xml:space="preserve">متوسط زمان رسیدگی به درخواستهای خدمات ابنیه- دفتر مرکزی</t>
  </si>
  <si>
    <t xml:space="preserve">SN-01-00</t>
  </si>
  <si>
    <t xml:space="preserve">سرانه اجرای پیشنهادات</t>
  </si>
  <si>
    <t xml:space="preserve">پیشنهادات اجراشده به نفر</t>
  </si>
  <si>
    <t xml:space="preserve">HR-76-05</t>
  </si>
  <si>
    <t xml:space="preserve">ارسال به موقع پرونده های درمان به مالی (از زمان تحویل کامل مدارک به اداره سلامت و ایمنی تا ارسال به مدیریت حسابداری مالی)</t>
  </si>
  <si>
    <t xml:space="preserve">سطح</t>
  </si>
  <si>
    <t xml:space="preserve">کد KR</t>
  </si>
  <si>
    <t xml:space="preserve">KR</t>
  </si>
  <si>
    <t xml:space="preserve">مبنا ۱۴۰۴</t>
  </si>
  <si>
    <t xml:space="preserve">وضع ۱۴۰۵</t>
  </si>
  <si>
    <t xml:space="preserve">هدف</t>
  </si>
  <si>
    <t xml:space="preserve">نکته</t>
  </si>
  <si>
    <t xml:space="preserve">داده‌ی کافی برای هدف‌گذاری وجود ندارد؛ شاخص در سیستم بدون داده (همه مقادیر صفر)؛ هدف تعیین نشده</t>
  </si>
</sst>
</file>

<file path=xl/styles.xml><?xml version="1.0" encoding="utf-8"?>
<styleSheet xmlns="http://schemas.openxmlformats.org/spreadsheetml/2006/main">
  <numFmts count="4">
    <numFmt numFmtId="164" formatCode="General"/>
    <numFmt numFmtId="165" formatCode="0%"/>
    <numFmt numFmtId="166" formatCode="#,##0"/>
    <numFmt numFmtId="167" formatCode="#,##0.0#"/>
  </numFmts>
  <fonts count="20">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b val="true"/>
      <sz val="15"/>
      <color rgb="FF1F3864"/>
      <name val="Arial"/>
      <family val="0"/>
      <charset val="1"/>
    </font>
    <font>
      <i val="true"/>
      <sz val="10"/>
      <color rgb="FF595959"/>
      <name val="Arial"/>
      <family val="0"/>
      <charset val="1"/>
    </font>
    <font>
      <b val="true"/>
      <sz val="10"/>
      <color rgb="FFFFFFFF"/>
      <name val="Arial"/>
      <family val="0"/>
      <charset val="1"/>
    </font>
    <font>
      <b val="true"/>
      <sz val="11"/>
      <name val="Arial"/>
      <family val="0"/>
      <charset val="1"/>
    </font>
    <font>
      <sz val="9"/>
      <name val="Arial"/>
      <family val="0"/>
      <charset val="1"/>
    </font>
    <font>
      <b val="true"/>
      <sz val="9"/>
      <name val="Arial"/>
      <family val="0"/>
      <charset val="1"/>
    </font>
    <font>
      <sz val="10"/>
      <color rgb="FF0000FF"/>
      <name val="Arial"/>
      <family val="0"/>
      <charset val="1"/>
    </font>
    <font>
      <sz val="9"/>
      <color rgb="FF000000"/>
      <name val="Arial"/>
      <family val="0"/>
      <charset val="1"/>
    </font>
    <font>
      <sz val="9"/>
      <color rgb="FFC00000"/>
      <name val="Arial"/>
      <family val="0"/>
      <charset val="1"/>
    </font>
    <font>
      <b val="true"/>
      <sz val="10"/>
      <color rgb="FF1F3864"/>
      <name val="Arial"/>
      <family val="0"/>
      <charset val="1"/>
    </font>
    <font>
      <b val="true"/>
      <sz val="11"/>
      <color rgb="FF1F3864"/>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CE6F5"/>
        <bgColor rgb="FFE2F0D9"/>
      </patternFill>
    </fill>
    <fill>
      <patternFill patternType="solid">
        <fgColor rgb="FFFFF2CC"/>
        <bgColor rgb="FFFFFFE0"/>
      </patternFill>
    </fill>
    <fill>
      <patternFill patternType="solid">
        <fgColor rgb="FFFFFFE0"/>
        <bgColor rgb="FFFFFFFF"/>
      </patternFill>
    </fill>
    <fill>
      <patternFill patternType="solid">
        <fgColor rgb="FFE2F0D9"/>
        <bgColor rgb="FFF2F2F2"/>
      </patternFill>
    </fill>
    <fill>
      <patternFill patternType="solid">
        <fgColor rgb="FFF2F2F2"/>
        <bgColor rgb="FFE2F0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top"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right" vertical="top" textRotation="0" wrapText="true" indent="0" shrinkToFit="false"/>
      <protection locked="true" hidden="false"/>
    </xf>
    <xf numFmtId="164" fontId="12" fillId="3" borderId="1" xfId="0" applyFont="true" applyBorder="true" applyAlignment="true" applyProtection="false">
      <alignment horizontal="right" vertical="top" textRotation="0" wrapText="true" indent="0" shrinkToFit="false"/>
      <protection locked="true" hidden="false"/>
    </xf>
    <xf numFmtId="164" fontId="13" fillId="3" borderId="1" xfId="0" applyFont="true" applyBorder="true" applyAlignment="true" applyProtection="false">
      <alignment horizontal="right"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top" textRotation="0" wrapText="false" indent="0" shrinkToFit="false"/>
      <protection locked="true" hidden="false"/>
    </xf>
    <xf numFmtId="165" fontId="7" fillId="3"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right"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6" fontId="7" fillId="4" borderId="1" xfId="0" applyFont="true" applyBorder="true" applyAlignment="true" applyProtection="false">
      <alignment horizontal="center" vertical="top" textRotation="0" wrapText="true" indent="0" shrinkToFit="false"/>
      <protection locked="true" hidden="false"/>
    </xf>
    <xf numFmtId="166" fontId="15" fillId="5"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right" vertical="top" textRotation="0" wrapText="true" indent="0" shrinkToFit="false"/>
      <protection locked="true" hidden="false"/>
    </xf>
    <xf numFmtId="167" fontId="15" fillId="5" borderId="1" xfId="0" applyFont="true" applyBorder="true" applyAlignment="true" applyProtection="false">
      <alignment horizontal="center" vertical="top" textRotation="0" wrapText="true" indent="0" shrinkToFit="false"/>
      <protection locked="true" hidden="false"/>
    </xf>
    <xf numFmtId="167" fontId="7" fillId="6" borderId="1" xfId="0" applyFont="true" applyBorder="true" applyAlignment="true" applyProtection="false">
      <alignment horizontal="center" vertical="top" textRotation="0" wrapText="true" indent="0" shrinkToFit="false"/>
      <protection locked="true" hidden="false"/>
    </xf>
    <xf numFmtId="167" fontId="7" fillId="4"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true" applyProtection="false">
      <alignment horizontal="right" vertical="top" textRotation="0" wrapText="true" indent="0" shrinkToFit="false"/>
      <protection locked="true" hidden="false"/>
    </xf>
    <xf numFmtId="166" fontId="7" fillId="6" borderId="1" xfId="0" applyFont="true" applyBorder="true" applyAlignment="true" applyProtection="false">
      <alignment horizontal="center" vertical="top" textRotation="0" wrapText="true" indent="0" shrinkToFit="false"/>
      <protection locked="true" hidden="false"/>
    </xf>
    <xf numFmtId="164" fontId="18" fillId="7" borderId="1" xfId="0" applyFont="true" applyBorder="true" applyAlignment="true" applyProtection="false">
      <alignment horizontal="right" vertical="center"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9" fillId="7"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E0"/>
      <rgbColor rgb="FFDCE6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F0D9"/>
      <rgbColor rgb="FFFFF2CC"/>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C30"/>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95"/>
  </cols>
  <sheetData>
    <row r="1" customFormat="false" ht="30" hidden="false" customHeight="true" outlineLevel="0" collapsed="false">
      <c r="B1" s="1" t="s">
        <v>0</v>
      </c>
    </row>
    <row r="2" customFormat="false" ht="15" hidden="false" customHeight="false" outlineLevel="0" collapsed="false">
      <c r="B2" s="2" t="s">
        <v>1</v>
      </c>
    </row>
    <row r="5" customFormat="false" ht="15" hidden="false" customHeight="false" outlineLevel="0" collapsed="false">
      <c r="B5" s="3" t="s">
        <v>2</v>
      </c>
      <c r="C5" s="4"/>
    </row>
    <row r="6" customFormat="false" ht="27.75" hidden="false" customHeight="true" outlineLevel="0" collapsed="false">
      <c r="B6" s="5" t="s">
        <v>3</v>
      </c>
      <c r="C6" s="6" t="s">
        <v>4</v>
      </c>
    </row>
    <row r="7" customFormat="false" ht="27.75" hidden="false" customHeight="true" outlineLevel="0" collapsed="false">
      <c r="B7" s="5" t="s">
        <v>5</v>
      </c>
      <c r="C7" s="6" t="s">
        <v>6</v>
      </c>
    </row>
    <row r="8" customFormat="false" ht="27.75" hidden="false" customHeight="true" outlineLevel="0" collapsed="false">
      <c r="B8" s="5" t="s">
        <v>7</v>
      </c>
      <c r="C8" s="6" t="s">
        <v>8</v>
      </c>
    </row>
    <row r="9" customFormat="false" ht="27.75" hidden="false" customHeight="true" outlineLevel="0" collapsed="false">
      <c r="B9" s="5" t="s">
        <v>9</v>
      </c>
      <c r="C9" s="6" t="s">
        <v>10</v>
      </c>
    </row>
    <row r="10" customFormat="false" ht="27.75" hidden="false" customHeight="true" outlineLevel="0" collapsed="false">
      <c r="B10" s="5" t="s">
        <v>11</v>
      </c>
      <c r="C10" s="6" t="s">
        <v>12</v>
      </c>
    </row>
    <row r="11" customFormat="false" ht="55.5" hidden="false" customHeight="true" outlineLevel="0" collapsed="false">
      <c r="B11" s="5" t="s">
        <v>13</v>
      </c>
      <c r="C11" s="6" t="s">
        <v>14</v>
      </c>
    </row>
    <row r="12" customFormat="false" ht="27.75" hidden="false" customHeight="true" outlineLevel="0" collapsed="false">
      <c r="B12" s="5" t="s">
        <v>15</v>
      </c>
      <c r="C12" s="6" t="s">
        <v>16</v>
      </c>
    </row>
    <row r="13" customFormat="false" ht="19.5" hidden="false" customHeight="true" outlineLevel="0" collapsed="false">
      <c r="B13" s="5" t="s">
        <v>17</v>
      </c>
      <c r="C13" s="6" t="s">
        <v>18</v>
      </c>
    </row>
    <row r="15" customFormat="false" ht="15" hidden="false" customHeight="false" outlineLevel="0" collapsed="false">
      <c r="B15" s="3" t="s">
        <v>19</v>
      </c>
      <c r="C15" s="4"/>
    </row>
    <row r="16" customFormat="false" ht="42" hidden="false" customHeight="true" outlineLevel="0" collapsed="false">
      <c r="B16" s="5" t="s">
        <v>20</v>
      </c>
      <c r="C16" s="6" t="s">
        <v>21</v>
      </c>
    </row>
    <row r="17" customFormat="false" ht="27.75" hidden="false" customHeight="true" outlineLevel="0" collapsed="false">
      <c r="B17" s="5" t="s">
        <v>22</v>
      </c>
      <c r="C17" s="6" t="s">
        <v>23</v>
      </c>
    </row>
    <row r="18" customFormat="false" ht="42" hidden="false" customHeight="true" outlineLevel="0" collapsed="false">
      <c r="B18" s="5" t="s">
        <v>24</v>
      </c>
      <c r="C18" s="6" t="s">
        <v>25</v>
      </c>
    </row>
    <row r="19" customFormat="false" ht="27.75" hidden="false" customHeight="true" outlineLevel="0" collapsed="false">
      <c r="B19" s="5" t="s">
        <v>26</v>
      </c>
      <c r="C19" s="6" t="s">
        <v>27</v>
      </c>
    </row>
    <row r="21" customFormat="false" ht="15" hidden="false" customHeight="false" outlineLevel="0" collapsed="false">
      <c r="B21" s="3" t="s">
        <v>28</v>
      </c>
      <c r="C21" s="4"/>
    </row>
    <row r="22" customFormat="false" ht="84" hidden="false" customHeight="true" outlineLevel="0" collapsed="false">
      <c r="B22" s="5" t="s">
        <v>29</v>
      </c>
      <c r="C22" s="6" t="s">
        <v>30</v>
      </c>
    </row>
    <row r="23" customFormat="false" ht="55.5" hidden="false" customHeight="true" outlineLevel="0" collapsed="false">
      <c r="B23" s="5" t="s">
        <v>31</v>
      </c>
      <c r="C23" s="6" t="s">
        <v>32</v>
      </c>
    </row>
    <row r="24" customFormat="false" ht="55.5" hidden="false" customHeight="true" outlineLevel="0" collapsed="false">
      <c r="B24" s="5" t="s">
        <v>33</v>
      </c>
      <c r="C24" s="6" t="s">
        <v>34</v>
      </c>
    </row>
    <row r="25" customFormat="false" ht="42" hidden="false" customHeight="true" outlineLevel="0" collapsed="false">
      <c r="B25" s="5" t="s">
        <v>35</v>
      </c>
      <c r="C25" s="6" t="s">
        <v>36</v>
      </c>
    </row>
    <row r="26" customFormat="false" ht="42" hidden="false" customHeight="true" outlineLevel="0" collapsed="false">
      <c r="B26" s="5" t="s">
        <v>37</v>
      </c>
      <c r="C26" s="6" t="s">
        <v>38</v>
      </c>
    </row>
    <row r="27" customFormat="false" ht="19.5" hidden="false" customHeight="true" outlineLevel="0" collapsed="false">
      <c r="B27" s="5" t="s">
        <v>39</v>
      </c>
      <c r="C27" s="6" t="s">
        <v>40</v>
      </c>
    </row>
    <row r="29" customFormat="false" ht="48" hidden="false" customHeight="true" outlineLevel="0" collapsed="false">
      <c r="B29" s="7" t="s">
        <v>41</v>
      </c>
      <c r="C29" s="8" t="s">
        <v>42</v>
      </c>
    </row>
    <row r="30" customFormat="false" ht="48" hidden="false" customHeight="true" outlineLevel="0" collapsed="false">
      <c r="B30" s="7" t="s">
        <v>43</v>
      </c>
      <c r="C30" s="8" t="s">
        <v>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Q3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58"/>
    <col collapsed="false" customWidth="true" hidden="false" outlineLevel="0" max="4" min="4" style="0" width="30"/>
    <col collapsed="false" customWidth="true" hidden="false" outlineLevel="0" max="5" min="5" style="0" width="12"/>
    <col collapsed="false" customWidth="true" hidden="false" outlineLevel="0" max="6" min="6" style="0" width="13"/>
    <col collapsed="false" customWidth="true" hidden="false" outlineLevel="0" max="7" min="7" style="0" width="9"/>
    <col collapsed="false" customWidth="true" hidden="false" outlineLevel="0" max="10" min="8" style="0" width="13"/>
    <col collapsed="false" customWidth="true" hidden="false" outlineLevel="0" max="11" min="11" style="0" width="14"/>
    <col collapsed="false" customWidth="true" hidden="false" outlineLevel="0" max="12" min="12" style="0" width="34"/>
    <col collapsed="false" customWidth="true" hidden="false" outlineLevel="0" max="13" min="13" style="0" width="13"/>
    <col collapsed="false" customWidth="true" hidden="false" outlineLevel="0" max="14" min="14" style="0" width="9"/>
    <col collapsed="false" customWidth="true" hidden="false" outlineLevel="0" max="15" min="15" style="0" width="40"/>
    <col collapsed="false" customWidth="true" hidden="false" outlineLevel="0" max="16" min="16" style="0" width="50"/>
    <col collapsed="false" customWidth="true" hidden="false" outlineLevel="0" max="17" min="17" style="0" width="34"/>
  </cols>
  <sheetData>
    <row r="1" customFormat="false" ht="17.9" hidden="false" customHeight="false" outlineLevel="0" collapsed="false">
      <c r="A1" s="9" t="s">
        <v>45</v>
      </c>
      <c r="B1" s="9"/>
      <c r="C1" s="9"/>
      <c r="D1" s="9"/>
    </row>
    <row r="2" customFormat="false" ht="15" hidden="false" customHeight="false" outlineLevel="0" collapsed="false">
      <c r="A2" s="10" t="s">
        <v>46</v>
      </c>
      <c r="B2" s="10"/>
      <c r="C2" s="10"/>
      <c r="D2" s="10"/>
    </row>
    <row r="4" customFormat="false" ht="42" hidden="false" customHeight="true" outlineLevel="0" collapsed="false">
      <c r="A4" s="11" t="s">
        <v>47</v>
      </c>
      <c r="B4" s="11" t="s">
        <v>48</v>
      </c>
      <c r="C4" s="11" t="s">
        <v>49</v>
      </c>
      <c r="D4" s="11" t="s">
        <v>50</v>
      </c>
      <c r="E4" s="11" t="s">
        <v>51</v>
      </c>
      <c r="F4" s="11" t="s">
        <v>52</v>
      </c>
      <c r="G4" s="11" t="s">
        <v>26</v>
      </c>
      <c r="H4" s="11" t="s">
        <v>53</v>
      </c>
      <c r="I4" s="11" t="s">
        <v>54</v>
      </c>
      <c r="J4" s="11" t="s">
        <v>55</v>
      </c>
      <c r="K4" s="11" t="s">
        <v>56</v>
      </c>
      <c r="L4" s="11" t="s">
        <v>57</v>
      </c>
      <c r="M4" s="11" t="s">
        <v>58</v>
      </c>
      <c r="N4" s="11" t="s">
        <v>22</v>
      </c>
      <c r="O4" s="11" t="s">
        <v>59</v>
      </c>
      <c r="P4" s="11" t="s">
        <v>60</v>
      </c>
      <c r="Q4" s="11" t="s">
        <v>61</v>
      </c>
    </row>
    <row r="5" customFormat="false" ht="45" hidden="false" customHeight="true" outlineLevel="0" collapsed="false">
      <c r="A5" s="12" t="s">
        <v>62</v>
      </c>
      <c r="B5" s="12" t="s">
        <v>63</v>
      </c>
      <c r="C5" s="13" t="s">
        <v>64</v>
      </c>
      <c r="D5" s="14" t="s">
        <v>65</v>
      </c>
      <c r="E5" s="15"/>
      <c r="F5" s="15"/>
      <c r="G5" s="15"/>
      <c r="H5" s="15"/>
      <c r="I5" s="15"/>
      <c r="J5" s="15"/>
      <c r="K5" s="15"/>
      <c r="L5" s="15"/>
      <c r="M5" s="16" t="s">
        <v>66</v>
      </c>
      <c r="N5" s="17" t="n">
        <f aca="false">IFERROR(AVERAGE(N6:N12),"")</f>
        <v>0.255337008637688</v>
      </c>
      <c r="O5" s="14" t="s">
        <v>67</v>
      </c>
      <c r="P5" s="14" t="s">
        <v>68</v>
      </c>
      <c r="Q5" s="14" t="s">
        <v>69</v>
      </c>
    </row>
    <row r="6" customFormat="false" ht="32.8" hidden="false" customHeight="false" outlineLevel="0" collapsed="false">
      <c r="A6" s="6" t="s">
        <v>70</v>
      </c>
      <c r="B6" s="18" t="s">
        <v>63</v>
      </c>
      <c r="C6" s="6" t="s">
        <v>71</v>
      </c>
      <c r="E6" s="19" t="s">
        <v>72</v>
      </c>
      <c r="F6" s="20" t="s">
        <v>73</v>
      </c>
      <c r="G6" s="20" t="s">
        <v>74</v>
      </c>
      <c r="H6" s="21" t="n">
        <v>117683.99</v>
      </c>
      <c r="I6" s="21" t="n">
        <v>59656.2</v>
      </c>
      <c r="J6" s="22" t="n">
        <v>0</v>
      </c>
      <c r="K6" s="23" t="n">
        <v>165012.78</v>
      </c>
      <c r="L6" s="18" t="s">
        <v>75</v>
      </c>
      <c r="M6" s="24" t="n">
        <v>59656.2</v>
      </c>
      <c r="N6" s="25" t="n">
        <f aca="false">IF(AND(ISNUMBER(J6),ISNUMBER(K6),ISNUMBER(M6),K6&lt;&gt;J6),MAX(0,MIN(1,(M6-J6)/(K6-J6))),"")</f>
        <v>0.36152472553944</v>
      </c>
      <c r="O6" s="26"/>
      <c r="P6" s="6"/>
      <c r="Q6" s="6"/>
    </row>
    <row r="7" customFormat="false" ht="32.8" hidden="false" customHeight="false" outlineLevel="0" collapsed="false">
      <c r="A7" s="6" t="s">
        <v>76</v>
      </c>
      <c r="B7" s="18" t="s">
        <v>63</v>
      </c>
      <c r="C7" s="6" t="s">
        <v>77</v>
      </c>
      <c r="E7" s="19" t="s">
        <v>78</v>
      </c>
      <c r="F7" s="20" t="s">
        <v>79</v>
      </c>
      <c r="G7" s="20" t="s">
        <v>74</v>
      </c>
      <c r="H7" s="21" t="n">
        <v>45401017</v>
      </c>
      <c r="I7" s="21" t="n">
        <v>16531885</v>
      </c>
      <c r="J7" s="22" t="n">
        <v>0</v>
      </c>
      <c r="K7" s="23" t="n">
        <v>49941118.7</v>
      </c>
      <c r="L7" s="18" t="s">
        <v>75</v>
      </c>
      <c r="M7" s="24" t="n">
        <v>16531885</v>
      </c>
      <c r="N7" s="25" t="n">
        <f aca="false">IF(AND(ISNUMBER(J7),ISNUMBER(K7),ISNUMBER(M7),K7&lt;&gt;J7),MAX(0,MIN(1,(M7-J7)/(K7-J7))),"")</f>
        <v>0.331027526622066</v>
      </c>
      <c r="O7" s="26"/>
      <c r="P7" s="6"/>
      <c r="Q7" s="6"/>
    </row>
    <row r="8" customFormat="false" ht="43.25" hidden="false" customHeight="false" outlineLevel="0" collapsed="false">
      <c r="A8" s="6" t="s">
        <v>80</v>
      </c>
      <c r="B8" s="18" t="s">
        <v>63</v>
      </c>
      <c r="C8" s="6" t="s">
        <v>81</v>
      </c>
      <c r="E8" s="19" t="s">
        <v>82</v>
      </c>
      <c r="F8" s="20" t="s">
        <v>73</v>
      </c>
      <c r="G8" s="20" t="s">
        <v>74</v>
      </c>
      <c r="H8" s="21" t="n">
        <v>1710.38</v>
      </c>
      <c r="I8" s="22" t="n">
        <v>528.85</v>
      </c>
      <c r="J8" s="22" t="n">
        <v>0</v>
      </c>
      <c r="K8" s="23" t="n">
        <v>3420.76</v>
      </c>
      <c r="L8" s="18" t="s">
        <v>83</v>
      </c>
      <c r="M8" s="27" t="n">
        <v>528.85</v>
      </c>
      <c r="N8" s="25" t="n">
        <f aca="false">IF(AND(ISNUMBER(J8),ISNUMBER(K8),ISNUMBER(M8),K8&lt;&gt;J8),MAX(0,MIN(1,(M8-J8)/(K8-J8))),"")</f>
        <v>0.15460014733568</v>
      </c>
      <c r="O8" s="26"/>
      <c r="P8" s="6"/>
      <c r="Q8" s="6"/>
    </row>
    <row r="9" customFormat="false" ht="32.8" hidden="false" customHeight="false" outlineLevel="0" collapsed="false">
      <c r="A9" s="6" t="s">
        <v>84</v>
      </c>
      <c r="B9" s="18" t="s">
        <v>63</v>
      </c>
      <c r="C9" s="6" t="s">
        <v>85</v>
      </c>
      <c r="E9" s="19" t="s">
        <v>86</v>
      </c>
      <c r="F9" s="20" t="s">
        <v>73</v>
      </c>
      <c r="G9" s="20" t="s">
        <v>74</v>
      </c>
      <c r="H9" s="21" t="n">
        <v>6301.95</v>
      </c>
      <c r="I9" s="21" t="n">
        <v>2981.92</v>
      </c>
      <c r="J9" s="22" t="n">
        <v>0</v>
      </c>
      <c r="K9" s="23" t="n">
        <v>9813.72</v>
      </c>
      <c r="L9" s="18" t="s">
        <v>75</v>
      </c>
      <c r="M9" s="24" t="n">
        <v>2981.92</v>
      </c>
      <c r="N9" s="25" t="n">
        <f aca="false">IF(AND(ISNUMBER(J9),ISNUMBER(K9),ISNUMBER(M9),K9&lt;&gt;J9),MAX(0,MIN(1,(M9-J9)/(K9-J9))),"")</f>
        <v>0.303852157999209</v>
      </c>
      <c r="O9" s="26"/>
      <c r="P9" s="6"/>
      <c r="Q9" s="6"/>
    </row>
    <row r="10" customFormat="false" ht="32.8" hidden="false" customHeight="false" outlineLevel="0" collapsed="false">
      <c r="A10" s="6" t="s">
        <v>87</v>
      </c>
      <c r="B10" s="18" t="s">
        <v>63</v>
      </c>
      <c r="C10" s="6" t="s">
        <v>88</v>
      </c>
      <c r="E10" s="19" t="s">
        <v>89</v>
      </c>
      <c r="F10" s="20" t="s">
        <v>73</v>
      </c>
      <c r="G10" s="20" t="s">
        <v>74</v>
      </c>
      <c r="H10" s="21" t="n">
        <v>10984.5</v>
      </c>
      <c r="I10" s="21" t="n">
        <v>6548.22</v>
      </c>
      <c r="J10" s="22" t="n">
        <v>0</v>
      </c>
      <c r="K10" s="23" t="n">
        <v>17186.14</v>
      </c>
      <c r="L10" s="18" t="s">
        <v>75</v>
      </c>
      <c r="M10" s="24" t="n">
        <v>6548.22</v>
      </c>
      <c r="N10" s="25" t="n">
        <f aca="false">IF(AND(ISNUMBER(J10),ISNUMBER(K10),ISNUMBER(M10),K10&lt;&gt;J10),MAX(0,MIN(1,(M10-J10)/(K10-J10))),"")</f>
        <v>0.381017494329733</v>
      </c>
      <c r="O10" s="26"/>
      <c r="P10" s="6"/>
      <c r="Q10" s="6"/>
    </row>
    <row r="11" customFormat="false" ht="15" hidden="false" customHeight="false" outlineLevel="0" collapsed="false">
      <c r="A11" s="6" t="s">
        <v>90</v>
      </c>
      <c r="B11" s="18" t="s">
        <v>63</v>
      </c>
      <c r="C11" s="6" t="s">
        <v>91</v>
      </c>
      <c r="E11" s="19" t="s">
        <v>92</v>
      </c>
      <c r="F11" s="20" t="s">
        <v>93</v>
      </c>
      <c r="G11" s="20" t="s">
        <v>74</v>
      </c>
      <c r="H11" s="22" t="n">
        <v>10.97</v>
      </c>
      <c r="I11" s="22" t="n">
        <v>14.57</v>
      </c>
      <c r="J11" s="22" t="n">
        <v>14.57</v>
      </c>
      <c r="K11" s="28" t="n">
        <v>15.47</v>
      </c>
      <c r="L11" s="18" t="s">
        <v>94</v>
      </c>
      <c r="M11" s="27" t="n">
        <v>14.57</v>
      </c>
      <c r="N11" s="25" t="n">
        <f aca="false">IF(AND(ISNUMBER(J11),ISNUMBER(K11),ISNUMBER(M11),K11&lt;&gt;J11),MAX(0,MIN(1,(M11-J11)/(K11-J11))),"")</f>
        <v>0</v>
      </c>
      <c r="O11" s="26"/>
      <c r="P11" s="6"/>
      <c r="Q11" s="6"/>
    </row>
    <row r="12" customFormat="false" ht="15" hidden="false" customHeight="false" outlineLevel="0" collapsed="false">
      <c r="A12" s="6" t="s">
        <v>95</v>
      </c>
      <c r="B12" s="18" t="s">
        <v>63</v>
      </c>
      <c r="C12" s="6" t="s">
        <v>96</v>
      </c>
      <c r="E12" s="19" t="s">
        <v>97</v>
      </c>
      <c r="F12" s="20" t="s">
        <v>79</v>
      </c>
      <c r="G12" s="20" t="s">
        <v>74</v>
      </c>
      <c r="H12" s="20" t="s">
        <v>97</v>
      </c>
      <c r="I12" s="20" t="s">
        <v>97</v>
      </c>
      <c r="J12" s="22" t="n">
        <v>0</v>
      </c>
      <c r="K12" s="29" t="n">
        <v>1</v>
      </c>
      <c r="L12" s="18" t="s">
        <v>98</v>
      </c>
      <c r="M12" s="30"/>
      <c r="N12" s="25" t="str">
        <f aca="false">IF(AND(ISNUMBER(J12),ISNUMBER(K12),ISNUMBER(M12),K12&lt;&gt;J12),MAX(0,MIN(1,(M12-J12)/(K12-J12))),"")</f>
        <v/>
      </c>
      <c r="O12" s="26"/>
      <c r="P12" s="6"/>
      <c r="Q12" s="6"/>
    </row>
    <row r="13" customFormat="false" ht="30" hidden="false" customHeight="true" outlineLevel="0" collapsed="false">
      <c r="A13" s="12" t="s">
        <v>99</v>
      </c>
      <c r="B13" s="12" t="s">
        <v>63</v>
      </c>
      <c r="C13" s="13" t="s">
        <v>100</v>
      </c>
      <c r="D13" s="14" t="s">
        <v>65</v>
      </c>
      <c r="E13" s="15"/>
      <c r="F13" s="15"/>
      <c r="G13" s="15"/>
      <c r="H13" s="15"/>
      <c r="I13" s="15"/>
      <c r="J13" s="15"/>
      <c r="K13" s="15"/>
      <c r="L13" s="15"/>
      <c r="M13" s="16" t="s">
        <v>66</v>
      </c>
      <c r="N13" s="17" t="n">
        <f aca="false">IFERROR(AVERAGE(N14:N18),"")</f>
        <v>0.311636345626714</v>
      </c>
      <c r="O13" s="14" t="s">
        <v>101</v>
      </c>
      <c r="P13" s="14" t="s">
        <v>102</v>
      </c>
      <c r="Q13" s="14" t="s">
        <v>103</v>
      </c>
    </row>
    <row r="14" customFormat="false" ht="32.8" hidden="false" customHeight="false" outlineLevel="0" collapsed="false">
      <c r="A14" s="6" t="s">
        <v>104</v>
      </c>
      <c r="B14" s="18" t="s">
        <v>63</v>
      </c>
      <c r="C14" s="6" t="s">
        <v>105</v>
      </c>
      <c r="E14" s="19" t="s">
        <v>106</v>
      </c>
      <c r="F14" s="20" t="s">
        <v>73</v>
      </c>
      <c r="G14" s="20" t="s">
        <v>74</v>
      </c>
      <c r="H14" s="21" t="n">
        <v>1526</v>
      </c>
      <c r="I14" s="21" t="n">
        <v>1156.52</v>
      </c>
      <c r="J14" s="22" t="n">
        <v>0</v>
      </c>
      <c r="K14" s="23" t="n">
        <v>2313.04</v>
      </c>
      <c r="L14" s="18" t="s">
        <v>75</v>
      </c>
      <c r="M14" s="24" t="n">
        <v>1156.52</v>
      </c>
      <c r="N14" s="25" t="n">
        <f aca="false">IF(AND(ISNUMBER(J14),ISNUMBER(K14),ISNUMBER(M14),K14&lt;&gt;J14),MAX(0,MIN(1,(M14-J14)/(K14-J14))),"")</f>
        <v>0.5</v>
      </c>
      <c r="O14" s="31" t="s">
        <v>107</v>
      </c>
      <c r="P14" s="6"/>
      <c r="Q14" s="6"/>
    </row>
    <row r="15" customFormat="false" ht="32.8" hidden="false" customHeight="false" outlineLevel="0" collapsed="false">
      <c r="A15" s="6" t="s">
        <v>108</v>
      </c>
      <c r="B15" s="18" t="s">
        <v>63</v>
      </c>
      <c r="C15" s="6" t="s">
        <v>109</v>
      </c>
      <c r="E15" s="19" t="s">
        <v>110</v>
      </c>
      <c r="F15" s="20" t="s">
        <v>73</v>
      </c>
      <c r="G15" s="20" t="s">
        <v>74</v>
      </c>
      <c r="H15" s="21" t="n">
        <v>127408</v>
      </c>
      <c r="I15" s="21" t="n">
        <v>83451.38</v>
      </c>
      <c r="J15" s="22" t="n">
        <v>0</v>
      </c>
      <c r="K15" s="23" t="n">
        <v>224930</v>
      </c>
      <c r="L15" s="18" t="s">
        <v>75</v>
      </c>
      <c r="M15" s="24" t="n">
        <v>83451.38</v>
      </c>
      <c r="N15" s="25" t="n">
        <f aca="false">IF(AND(ISNUMBER(J15),ISNUMBER(K15),ISNUMBER(M15),K15&lt;&gt;J15),MAX(0,MIN(1,(M15-J15)/(K15-J15))),"")</f>
        <v>0.371010447694838</v>
      </c>
      <c r="O15" s="26"/>
      <c r="P15" s="6"/>
      <c r="Q15" s="6"/>
    </row>
    <row r="16" customFormat="false" ht="32.8" hidden="false" customHeight="false" outlineLevel="0" collapsed="false">
      <c r="A16" s="6" t="s">
        <v>111</v>
      </c>
      <c r="B16" s="18" t="s">
        <v>63</v>
      </c>
      <c r="C16" s="6" t="s">
        <v>112</v>
      </c>
      <c r="E16" s="19" t="s">
        <v>113</v>
      </c>
      <c r="F16" s="20" t="s">
        <v>73</v>
      </c>
      <c r="G16" s="20" t="s">
        <v>74</v>
      </c>
      <c r="H16" s="20" t="s">
        <v>97</v>
      </c>
      <c r="I16" s="21" t="n">
        <v>1415.92</v>
      </c>
      <c r="J16" s="22" t="n">
        <v>0</v>
      </c>
      <c r="K16" s="23" t="n">
        <v>2831.84</v>
      </c>
      <c r="L16" s="18" t="s">
        <v>75</v>
      </c>
      <c r="M16" s="24" t="n">
        <v>1415.92</v>
      </c>
      <c r="N16" s="25" t="n">
        <f aca="false">IF(AND(ISNUMBER(J16),ISNUMBER(K16),ISNUMBER(M16),K16&lt;&gt;J16),MAX(0,MIN(1,(M16-J16)/(K16-J16))),"")</f>
        <v>0.5</v>
      </c>
      <c r="O16" s="31" t="s">
        <v>107</v>
      </c>
      <c r="P16" s="6"/>
      <c r="Q16" s="6"/>
    </row>
    <row r="17" customFormat="false" ht="15" hidden="false" customHeight="false" outlineLevel="0" collapsed="false">
      <c r="A17" s="6" t="s">
        <v>114</v>
      </c>
      <c r="B17" s="18" t="s">
        <v>63</v>
      </c>
      <c r="C17" s="6" t="s">
        <v>115</v>
      </c>
      <c r="E17" s="19" t="s">
        <v>116</v>
      </c>
      <c r="F17" s="20" t="s">
        <v>117</v>
      </c>
      <c r="G17" s="20" t="s">
        <v>118</v>
      </c>
      <c r="H17" s="20" t="s">
        <v>97</v>
      </c>
      <c r="I17" s="22" t="n">
        <v>80</v>
      </c>
      <c r="J17" s="22" t="n">
        <v>80</v>
      </c>
      <c r="K17" s="28" t="n">
        <v>65</v>
      </c>
      <c r="L17" s="18" t="s">
        <v>119</v>
      </c>
      <c r="M17" s="27" t="n">
        <v>80</v>
      </c>
      <c r="N17" s="25" t="n">
        <f aca="false">IF(AND(ISNUMBER(J17),ISNUMBER(K17),ISNUMBER(M17),K17&lt;&gt;J17),MAX(0,MIN(1,(M17-J17)/(K17-J17))),"")</f>
        <v>-0</v>
      </c>
      <c r="O17" s="26"/>
      <c r="P17" s="6"/>
      <c r="Q17" s="6"/>
    </row>
    <row r="18" customFormat="false" ht="32.8" hidden="false" customHeight="false" outlineLevel="0" collapsed="false">
      <c r="A18" s="6" t="s">
        <v>120</v>
      </c>
      <c r="B18" s="18" t="s">
        <v>63</v>
      </c>
      <c r="C18" s="6" t="s">
        <v>121</v>
      </c>
      <c r="E18" s="19" t="s">
        <v>122</v>
      </c>
      <c r="F18" s="20" t="s">
        <v>73</v>
      </c>
      <c r="G18" s="20" t="s">
        <v>74</v>
      </c>
      <c r="H18" s="21" t="n">
        <v>4857</v>
      </c>
      <c r="I18" s="21" t="n">
        <v>1000</v>
      </c>
      <c r="J18" s="22" t="n">
        <v>0</v>
      </c>
      <c r="K18" s="23" t="n">
        <v>5342.7</v>
      </c>
      <c r="L18" s="18" t="s">
        <v>75</v>
      </c>
      <c r="M18" s="24" t="n">
        <v>1000</v>
      </c>
      <c r="N18" s="25" t="n">
        <f aca="false">IF(AND(ISNUMBER(J18),ISNUMBER(K18),ISNUMBER(M18),K18&lt;&gt;J18),MAX(0,MIN(1,(M18-J18)/(K18-J18))),"")</f>
        <v>0.187171280438729</v>
      </c>
      <c r="O18" s="26"/>
      <c r="P18" s="6"/>
      <c r="Q18" s="6"/>
    </row>
    <row r="19" customFormat="false" ht="30" hidden="false" customHeight="true" outlineLevel="0" collapsed="false">
      <c r="A19" s="12" t="s">
        <v>123</v>
      </c>
      <c r="B19" s="12" t="s">
        <v>63</v>
      </c>
      <c r="C19" s="13" t="s">
        <v>124</v>
      </c>
      <c r="D19" s="14" t="s">
        <v>65</v>
      </c>
      <c r="E19" s="15"/>
      <c r="F19" s="15"/>
      <c r="G19" s="15"/>
      <c r="H19" s="15"/>
      <c r="I19" s="15"/>
      <c r="J19" s="15"/>
      <c r="K19" s="15"/>
      <c r="L19" s="15"/>
      <c r="M19" s="16" t="s">
        <v>66</v>
      </c>
      <c r="N19" s="17" t="n">
        <f aca="false">IFERROR(AVERAGE(N20:N25),"")</f>
        <v>0</v>
      </c>
      <c r="O19" s="14" t="s">
        <v>125</v>
      </c>
      <c r="P19" s="14" t="s">
        <v>126</v>
      </c>
      <c r="Q19" s="14" t="s">
        <v>127</v>
      </c>
    </row>
    <row r="20" customFormat="false" ht="15" hidden="false" customHeight="false" outlineLevel="0" collapsed="false">
      <c r="A20" s="6" t="s">
        <v>128</v>
      </c>
      <c r="B20" s="18" t="s">
        <v>63</v>
      </c>
      <c r="C20" s="6" t="s">
        <v>129</v>
      </c>
      <c r="E20" s="19" t="s">
        <v>130</v>
      </c>
      <c r="F20" s="20" t="s">
        <v>93</v>
      </c>
      <c r="G20" s="20" t="s">
        <v>74</v>
      </c>
      <c r="H20" s="20" t="s">
        <v>97</v>
      </c>
      <c r="I20" s="22" t="n">
        <v>80.14</v>
      </c>
      <c r="J20" s="22" t="n">
        <v>80.14</v>
      </c>
      <c r="K20" s="28" t="n">
        <v>82</v>
      </c>
      <c r="L20" s="18" t="s">
        <v>94</v>
      </c>
      <c r="M20" s="27" t="n">
        <v>80.14</v>
      </c>
      <c r="N20" s="25" t="n">
        <f aca="false">IF(AND(ISNUMBER(J20),ISNUMBER(K20),ISNUMBER(M20),K20&lt;&gt;J20),MAX(0,MIN(1,(M20-J20)/(K20-J20))),"")</f>
        <v>0</v>
      </c>
      <c r="O20" s="26"/>
      <c r="P20" s="6"/>
      <c r="Q20" s="6"/>
    </row>
    <row r="21" customFormat="false" ht="23.85" hidden="false" customHeight="false" outlineLevel="0" collapsed="false">
      <c r="A21" s="6" t="s">
        <v>131</v>
      </c>
      <c r="B21" s="18" t="s">
        <v>63</v>
      </c>
      <c r="C21" s="6" t="s">
        <v>132</v>
      </c>
      <c r="E21" s="19" t="s">
        <v>133</v>
      </c>
      <c r="F21" s="20" t="s">
        <v>134</v>
      </c>
      <c r="G21" s="20" t="s">
        <v>118</v>
      </c>
      <c r="H21" s="21" t="n">
        <v>10207.4</v>
      </c>
      <c r="I21" s="21" t="n">
        <v>9438.09</v>
      </c>
      <c r="J21" s="21" t="n">
        <v>9438.09</v>
      </c>
      <c r="K21" s="32" t="n">
        <v>9000</v>
      </c>
      <c r="L21" s="18" t="s">
        <v>119</v>
      </c>
      <c r="M21" s="24" t="n">
        <v>9438.09</v>
      </c>
      <c r="N21" s="25" t="n">
        <f aca="false">IF(AND(ISNUMBER(J21),ISNUMBER(K21),ISNUMBER(M21),K21&lt;&gt;J21),MAX(0,MIN(1,(M21-J21)/(K21-J21))),"")</f>
        <v>-0</v>
      </c>
      <c r="O21" s="26"/>
      <c r="P21" s="6"/>
      <c r="Q21" s="6"/>
    </row>
    <row r="22" customFormat="false" ht="22.35" hidden="false" customHeight="false" outlineLevel="0" collapsed="false">
      <c r="A22" s="6" t="s">
        <v>135</v>
      </c>
      <c r="B22" s="18" t="s">
        <v>63</v>
      </c>
      <c r="C22" s="6" t="s">
        <v>136</v>
      </c>
      <c r="E22" s="19" t="s">
        <v>137</v>
      </c>
      <c r="F22" s="20" t="s">
        <v>134</v>
      </c>
      <c r="G22" s="20" t="s">
        <v>118</v>
      </c>
      <c r="H22" s="22" t="n">
        <v>194.52</v>
      </c>
      <c r="I22" s="21" t="n">
        <v>1057.88</v>
      </c>
      <c r="J22" s="21" t="n">
        <v>1057.88</v>
      </c>
      <c r="K22" s="23" t="n">
        <v>1004.986</v>
      </c>
      <c r="L22" s="18" t="s">
        <v>138</v>
      </c>
      <c r="M22" s="24" t="n">
        <v>1057.88</v>
      </c>
      <c r="N22" s="25" t="n">
        <f aca="false">IF(AND(ISNUMBER(J22),ISNUMBER(K22),ISNUMBER(M22),K22&lt;&gt;J22),MAX(0,MIN(1,(M22-J22)/(K22-J22))),"")</f>
        <v>-0</v>
      </c>
      <c r="O22" s="31" t="s">
        <v>139</v>
      </c>
      <c r="P22" s="6"/>
      <c r="Q22" s="6"/>
    </row>
    <row r="23" customFormat="false" ht="15" hidden="false" customHeight="false" outlineLevel="0" collapsed="false">
      <c r="A23" s="6" t="s">
        <v>140</v>
      </c>
      <c r="B23" s="18" t="s">
        <v>63</v>
      </c>
      <c r="C23" s="6" t="s">
        <v>141</v>
      </c>
      <c r="E23" s="19" t="s">
        <v>142</v>
      </c>
      <c r="F23" s="20" t="s">
        <v>117</v>
      </c>
      <c r="G23" s="20" t="s">
        <v>118</v>
      </c>
      <c r="H23" s="22" t="n">
        <v>8.1</v>
      </c>
      <c r="I23" s="22" t="n">
        <v>8.07</v>
      </c>
      <c r="J23" s="22" t="n">
        <v>8.07</v>
      </c>
      <c r="K23" s="28" t="n">
        <v>7</v>
      </c>
      <c r="L23" s="18" t="s">
        <v>119</v>
      </c>
      <c r="M23" s="27" t="n">
        <v>8.07</v>
      </c>
      <c r="N23" s="25" t="n">
        <f aca="false">IF(AND(ISNUMBER(J23),ISNUMBER(K23),ISNUMBER(M23),K23&lt;&gt;J23),MAX(0,MIN(1,(M23-J23)/(K23-J23))),"")</f>
        <v>-0</v>
      </c>
      <c r="O23" s="26"/>
      <c r="P23" s="6"/>
      <c r="Q23" s="6"/>
    </row>
    <row r="24" customFormat="false" ht="15" hidden="false" customHeight="false" outlineLevel="0" collapsed="false">
      <c r="A24" s="6" t="s">
        <v>143</v>
      </c>
      <c r="B24" s="18" t="s">
        <v>63</v>
      </c>
      <c r="C24" s="6" t="s">
        <v>144</v>
      </c>
      <c r="E24" s="19" t="s">
        <v>145</v>
      </c>
      <c r="F24" s="20" t="s">
        <v>117</v>
      </c>
      <c r="G24" s="20" t="s">
        <v>118</v>
      </c>
      <c r="H24" s="22" t="n">
        <v>1.16</v>
      </c>
      <c r="I24" s="22" t="n">
        <v>1.73</v>
      </c>
      <c r="J24" s="22" t="n">
        <v>1.73</v>
      </c>
      <c r="K24" s="28" t="n">
        <v>1.1</v>
      </c>
      <c r="L24" s="18" t="s">
        <v>119</v>
      </c>
      <c r="M24" s="27" t="n">
        <v>1.73</v>
      </c>
      <c r="N24" s="25" t="n">
        <f aca="false">IF(AND(ISNUMBER(J24),ISNUMBER(K24),ISNUMBER(M24),K24&lt;&gt;J24),MAX(0,MIN(1,(M24-J24)/(K24-J24))),"")</f>
        <v>-0</v>
      </c>
      <c r="O24" s="26"/>
      <c r="P24" s="6"/>
      <c r="Q24" s="6"/>
    </row>
    <row r="25" customFormat="false" ht="15" hidden="false" customHeight="false" outlineLevel="0" collapsed="false">
      <c r="A25" s="6" t="s">
        <v>146</v>
      </c>
      <c r="B25" s="18" t="s">
        <v>63</v>
      </c>
      <c r="C25" s="6" t="s">
        <v>147</v>
      </c>
      <c r="E25" s="19" t="s">
        <v>148</v>
      </c>
      <c r="F25" s="20" t="s">
        <v>93</v>
      </c>
      <c r="G25" s="20" t="s">
        <v>74</v>
      </c>
      <c r="H25" s="20" t="s">
        <v>97</v>
      </c>
      <c r="I25" s="20" t="s">
        <v>97</v>
      </c>
      <c r="J25" s="20" t="s">
        <v>97</v>
      </c>
      <c r="K25" s="28" t="n">
        <v>85</v>
      </c>
      <c r="L25" s="18" t="s">
        <v>149</v>
      </c>
      <c r="M25" s="30"/>
      <c r="N25" s="25" t="str">
        <f aca="false">IF(AND(ISNUMBER(J25),ISNUMBER(K25),ISNUMBER(M25),K25&lt;&gt;J25),MAX(0,MIN(1,(M25-J25)/(K25-J25))),"")</f>
        <v/>
      </c>
      <c r="O25" s="26"/>
      <c r="P25" s="6"/>
      <c r="Q25" s="6"/>
    </row>
    <row r="26" customFormat="false" ht="30" hidden="false" customHeight="true" outlineLevel="0" collapsed="false">
      <c r="A26" s="12" t="s">
        <v>150</v>
      </c>
      <c r="B26" s="12" t="s">
        <v>63</v>
      </c>
      <c r="C26" s="13" t="s">
        <v>151</v>
      </c>
      <c r="D26" s="14" t="s">
        <v>65</v>
      </c>
      <c r="E26" s="15"/>
      <c r="F26" s="15"/>
      <c r="G26" s="15"/>
      <c r="H26" s="15"/>
      <c r="I26" s="15"/>
      <c r="J26" s="15"/>
      <c r="K26" s="15"/>
      <c r="L26" s="15"/>
      <c r="M26" s="16" t="s">
        <v>66</v>
      </c>
      <c r="N26" s="17" t="n">
        <f aca="false">IFERROR(AVERAGE(N27:N31),"")</f>
        <v>0</v>
      </c>
      <c r="O26" s="14" t="s">
        <v>152</v>
      </c>
      <c r="P26" s="14" t="s">
        <v>153</v>
      </c>
      <c r="Q26" s="14" t="s">
        <v>154</v>
      </c>
    </row>
    <row r="27" customFormat="false" ht="15" hidden="false" customHeight="false" outlineLevel="0" collapsed="false">
      <c r="A27" s="6" t="s">
        <v>155</v>
      </c>
      <c r="B27" s="18" t="s">
        <v>63</v>
      </c>
      <c r="C27" s="6" t="s">
        <v>156</v>
      </c>
      <c r="E27" s="19" t="s">
        <v>157</v>
      </c>
      <c r="F27" s="20" t="s">
        <v>93</v>
      </c>
      <c r="G27" s="20" t="s">
        <v>74</v>
      </c>
      <c r="H27" s="22" t="n">
        <v>55.05</v>
      </c>
      <c r="I27" s="22" t="n">
        <v>64.74</v>
      </c>
      <c r="J27" s="22" t="n">
        <v>64.74</v>
      </c>
      <c r="K27" s="28" t="n">
        <v>88</v>
      </c>
      <c r="L27" s="18" t="s">
        <v>119</v>
      </c>
      <c r="M27" s="27" t="n">
        <v>64.74</v>
      </c>
      <c r="N27" s="25" t="n">
        <f aca="false">IF(AND(ISNUMBER(J27),ISNUMBER(K27),ISNUMBER(M27),K27&lt;&gt;J27),MAX(0,MIN(1,(M27-J27)/(K27-J27))),"")</f>
        <v>0</v>
      </c>
      <c r="O27" s="26"/>
      <c r="P27" s="6"/>
      <c r="Q27" s="6"/>
    </row>
    <row r="28" customFormat="false" ht="15" hidden="false" customHeight="false" outlineLevel="0" collapsed="false">
      <c r="A28" s="6" t="s">
        <v>158</v>
      </c>
      <c r="B28" s="18" t="s">
        <v>63</v>
      </c>
      <c r="C28" s="6" t="s">
        <v>159</v>
      </c>
      <c r="E28" s="19" t="s">
        <v>160</v>
      </c>
      <c r="F28" s="20" t="s">
        <v>93</v>
      </c>
      <c r="G28" s="20" t="s">
        <v>74</v>
      </c>
      <c r="H28" s="22" t="n">
        <v>52.61</v>
      </c>
      <c r="I28" s="22" t="n">
        <v>67.59</v>
      </c>
      <c r="J28" s="22" t="n">
        <v>67.59</v>
      </c>
      <c r="K28" s="28" t="n">
        <v>73</v>
      </c>
      <c r="L28" s="18" t="s">
        <v>119</v>
      </c>
      <c r="M28" s="27" t="n">
        <v>67.59</v>
      </c>
      <c r="N28" s="25" t="n">
        <f aca="false">IF(AND(ISNUMBER(J28),ISNUMBER(K28),ISNUMBER(M28),K28&lt;&gt;J28),MAX(0,MIN(1,(M28-J28)/(K28-J28))),"")</f>
        <v>0</v>
      </c>
      <c r="O28" s="26"/>
      <c r="P28" s="6"/>
      <c r="Q28" s="6"/>
    </row>
    <row r="29" customFormat="false" ht="22.35" hidden="false" customHeight="false" outlineLevel="0" collapsed="false">
      <c r="A29" s="6" t="s">
        <v>161</v>
      </c>
      <c r="B29" s="18" t="s">
        <v>63</v>
      </c>
      <c r="C29" s="6" t="s">
        <v>162</v>
      </c>
      <c r="E29" s="19" t="s">
        <v>163</v>
      </c>
      <c r="F29" s="20" t="s">
        <v>164</v>
      </c>
      <c r="G29" s="20" t="s">
        <v>74</v>
      </c>
      <c r="H29" s="22" t="n">
        <v>4.63</v>
      </c>
      <c r="I29" s="22" t="n">
        <v>1.46</v>
      </c>
      <c r="J29" s="22" t="n">
        <v>1.46</v>
      </c>
      <c r="K29" s="28" t="n">
        <v>1.79</v>
      </c>
      <c r="L29" s="18" t="s">
        <v>119</v>
      </c>
      <c r="M29" s="27" t="n">
        <v>1.46</v>
      </c>
      <c r="N29" s="25" t="n">
        <f aca="false">IF(AND(ISNUMBER(J29),ISNUMBER(K29),ISNUMBER(M29),K29&lt;&gt;J29),MAX(0,MIN(1,(M29-J29)/(K29-J29))),"")</f>
        <v>0</v>
      </c>
      <c r="O29" s="31" t="s">
        <v>139</v>
      </c>
      <c r="P29" s="6"/>
      <c r="Q29" s="6"/>
    </row>
    <row r="30" customFormat="false" ht="15" hidden="false" customHeight="false" outlineLevel="0" collapsed="false">
      <c r="A30" s="6" t="s">
        <v>165</v>
      </c>
      <c r="B30" s="18" t="s">
        <v>63</v>
      </c>
      <c r="C30" s="6" t="s">
        <v>166</v>
      </c>
      <c r="E30" s="19" t="s">
        <v>167</v>
      </c>
      <c r="F30" s="20" t="s">
        <v>93</v>
      </c>
      <c r="G30" s="20" t="s">
        <v>118</v>
      </c>
      <c r="H30" s="22" t="n">
        <v>17.6</v>
      </c>
      <c r="I30" s="22" t="n">
        <v>14.56</v>
      </c>
      <c r="J30" s="22" t="n">
        <v>14.56</v>
      </c>
      <c r="K30" s="29" t="n">
        <v>9.78</v>
      </c>
      <c r="L30" s="18" t="s">
        <v>168</v>
      </c>
      <c r="M30" s="27" t="n">
        <v>14.56</v>
      </c>
      <c r="N30" s="25" t="n">
        <f aca="false">IF(AND(ISNUMBER(J30),ISNUMBER(K30),ISNUMBER(M30),K30&lt;&gt;J30),MAX(0,MIN(1,(M30-J30)/(K30-J30))),"")</f>
        <v>-0</v>
      </c>
      <c r="O30" s="26"/>
      <c r="P30" s="6"/>
      <c r="Q30" s="6"/>
    </row>
    <row r="31" customFormat="false" ht="15" hidden="false" customHeight="false" outlineLevel="0" collapsed="false">
      <c r="A31" s="6" t="s">
        <v>169</v>
      </c>
      <c r="B31" s="18" t="s">
        <v>63</v>
      </c>
      <c r="C31" s="6" t="s">
        <v>159</v>
      </c>
      <c r="E31" s="19" t="s">
        <v>170</v>
      </c>
      <c r="F31" s="20" t="s">
        <v>93</v>
      </c>
      <c r="G31" s="20" t="s">
        <v>74</v>
      </c>
      <c r="H31" s="22" t="n">
        <v>52.61</v>
      </c>
      <c r="I31" s="22" t="n">
        <v>67.59</v>
      </c>
      <c r="J31" s="22" t="n">
        <v>67.59</v>
      </c>
      <c r="K31" s="28" t="n">
        <v>73</v>
      </c>
      <c r="L31" s="18" t="s">
        <v>119</v>
      </c>
      <c r="M31" s="27" t="n">
        <v>67.59</v>
      </c>
      <c r="N31" s="25" t="n">
        <f aca="false">IF(AND(ISNUMBER(J31),ISNUMBER(K31),ISNUMBER(M31),K31&lt;&gt;J31),MAX(0,MIN(1,(M31-J31)/(K31-J31))),"")</f>
        <v>0</v>
      </c>
      <c r="O31" s="26"/>
      <c r="P31" s="6"/>
      <c r="Q31" s="6"/>
    </row>
    <row r="32" customFormat="false" ht="30" hidden="false" customHeight="true" outlineLevel="0" collapsed="false">
      <c r="A32" s="12" t="s">
        <v>171</v>
      </c>
      <c r="B32" s="12" t="s">
        <v>63</v>
      </c>
      <c r="C32" s="13" t="s">
        <v>172</v>
      </c>
      <c r="D32" s="14" t="s">
        <v>65</v>
      </c>
      <c r="E32" s="15"/>
      <c r="F32" s="15"/>
      <c r="G32" s="15"/>
      <c r="H32" s="15"/>
      <c r="I32" s="15"/>
      <c r="J32" s="15"/>
      <c r="K32" s="15"/>
      <c r="L32" s="15"/>
      <c r="M32" s="16" t="s">
        <v>66</v>
      </c>
      <c r="N32" s="17" t="n">
        <f aca="false">IFERROR(AVERAGE(N33:N38),"")</f>
        <v>0.300036314368781</v>
      </c>
      <c r="O32" s="14" t="s">
        <v>173</v>
      </c>
      <c r="P32" s="14" t="s">
        <v>174</v>
      </c>
      <c r="Q32" s="14" t="s">
        <v>175</v>
      </c>
    </row>
    <row r="33" customFormat="false" ht="23.85" hidden="false" customHeight="false" outlineLevel="0" collapsed="false">
      <c r="A33" s="6" t="s">
        <v>176</v>
      </c>
      <c r="B33" s="18" t="s">
        <v>63</v>
      </c>
      <c r="C33" s="6" t="s">
        <v>177</v>
      </c>
      <c r="E33" s="19" t="s">
        <v>178</v>
      </c>
      <c r="F33" s="20" t="s">
        <v>179</v>
      </c>
      <c r="G33" s="20" t="s">
        <v>74</v>
      </c>
      <c r="H33" s="22" t="n">
        <v>68.6</v>
      </c>
      <c r="I33" s="20" t="s">
        <v>97</v>
      </c>
      <c r="J33" s="22" t="n">
        <v>68.6</v>
      </c>
      <c r="K33" s="28" t="n">
        <v>70</v>
      </c>
      <c r="L33" s="18" t="s">
        <v>94</v>
      </c>
      <c r="M33" s="30"/>
      <c r="N33" s="25" t="str">
        <f aca="false">IF(AND(ISNUMBER(J33),ISNUMBER(K33),ISNUMBER(M33),K33&lt;&gt;J33),MAX(0,MIN(1,(M33-J33)/(K33-J33))),"")</f>
        <v/>
      </c>
      <c r="O33" s="26"/>
      <c r="P33" s="6"/>
      <c r="Q33" s="6"/>
    </row>
    <row r="34" customFormat="false" ht="15" hidden="false" customHeight="false" outlineLevel="0" collapsed="false">
      <c r="A34" s="6" t="s">
        <v>180</v>
      </c>
      <c r="B34" s="18" t="s">
        <v>63</v>
      </c>
      <c r="C34" s="6" t="s">
        <v>181</v>
      </c>
      <c r="E34" s="19" t="s">
        <v>182</v>
      </c>
      <c r="F34" s="20" t="s">
        <v>183</v>
      </c>
      <c r="G34" s="20" t="s">
        <v>74</v>
      </c>
      <c r="H34" s="22" t="n">
        <v>41.63</v>
      </c>
      <c r="I34" s="22" t="n">
        <v>29.76</v>
      </c>
      <c r="J34" s="22" t="n">
        <v>29.76</v>
      </c>
      <c r="K34" s="28" t="n">
        <v>44.84</v>
      </c>
      <c r="L34" s="18" t="s">
        <v>119</v>
      </c>
      <c r="M34" s="27" t="n">
        <v>29.76</v>
      </c>
      <c r="N34" s="25" t="n">
        <f aca="false">IF(AND(ISNUMBER(J34),ISNUMBER(K34),ISNUMBER(M34),K34&lt;&gt;J34),MAX(0,MIN(1,(M34-J34)/(K34-J34))),"")</f>
        <v>0</v>
      </c>
      <c r="O34" s="26"/>
      <c r="P34" s="6"/>
      <c r="Q34" s="6"/>
    </row>
    <row r="35" customFormat="false" ht="15" hidden="false" customHeight="false" outlineLevel="0" collapsed="false">
      <c r="A35" s="6" t="s">
        <v>184</v>
      </c>
      <c r="B35" s="18" t="s">
        <v>63</v>
      </c>
      <c r="C35" s="6" t="s">
        <v>185</v>
      </c>
      <c r="E35" s="19" t="s">
        <v>186</v>
      </c>
      <c r="F35" s="20" t="s">
        <v>73</v>
      </c>
      <c r="G35" s="20" t="s">
        <v>118</v>
      </c>
      <c r="H35" s="21" t="n">
        <v>1852.78</v>
      </c>
      <c r="I35" s="22" t="n">
        <v>936.9</v>
      </c>
      <c r="J35" s="22" t="n">
        <v>0</v>
      </c>
      <c r="K35" s="23" t="n">
        <v>1760.141</v>
      </c>
      <c r="L35" s="18" t="s">
        <v>187</v>
      </c>
      <c r="M35" s="27" t="n">
        <v>936.9</v>
      </c>
      <c r="N35" s="25" t="n">
        <f aca="false">IF(AND(ISNUMBER(J35),ISNUMBER(K35),ISNUMBER(M35),K35&lt;&gt;J35),MAX(0,MIN(1,(M35-J35)/(K35-J35))),"")</f>
        <v>0.532286902015236</v>
      </c>
      <c r="O35" s="26"/>
      <c r="P35" s="6"/>
      <c r="Q35" s="6"/>
    </row>
    <row r="36" customFormat="false" ht="15" hidden="false" customHeight="false" outlineLevel="0" collapsed="false">
      <c r="A36" s="6" t="s">
        <v>188</v>
      </c>
      <c r="B36" s="18" t="s">
        <v>63</v>
      </c>
      <c r="C36" s="6" t="s">
        <v>189</v>
      </c>
      <c r="E36" s="19" t="s">
        <v>190</v>
      </c>
      <c r="F36" s="20" t="s">
        <v>73</v>
      </c>
      <c r="G36" s="20" t="s">
        <v>118</v>
      </c>
      <c r="H36" s="22" t="n">
        <v>581.66</v>
      </c>
      <c r="I36" s="22" t="n">
        <v>203.25</v>
      </c>
      <c r="J36" s="22" t="n">
        <v>0</v>
      </c>
      <c r="K36" s="29" t="n">
        <v>552.577</v>
      </c>
      <c r="L36" s="18" t="s">
        <v>187</v>
      </c>
      <c r="M36" s="27" t="n">
        <v>203.25</v>
      </c>
      <c r="N36" s="25" t="n">
        <f aca="false">IF(AND(ISNUMBER(J36),ISNUMBER(K36),ISNUMBER(M36),K36&lt;&gt;J36),MAX(0,MIN(1,(M36-J36)/(K36-J36))),"")</f>
        <v>0.367822041091106</v>
      </c>
      <c r="O36" s="26"/>
      <c r="P36" s="6"/>
      <c r="Q36" s="6"/>
    </row>
    <row r="37" customFormat="false" ht="23.85" hidden="false" customHeight="false" outlineLevel="0" collapsed="false">
      <c r="A37" s="6" t="s">
        <v>191</v>
      </c>
      <c r="B37" s="18" t="s">
        <v>63</v>
      </c>
      <c r="C37" s="6" t="s">
        <v>192</v>
      </c>
      <c r="E37" s="19" t="s">
        <v>97</v>
      </c>
      <c r="F37" s="20" t="s">
        <v>93</v>
      </c>
      <c r="G37" s="20" t="s">
        <v>74</v>
      </c>
      <c r="H37" s="20" t="s">
        <v>97</v>
      </c>
      <c r="I37" s="20" t="s">
        <v>97</v>
      </c>
      <c r="J37" s="22" t="n">
        <v>0</v>
      </c>
      <c r="K37" s="29" t="n">
        <v>100</v>
      </c>
      <c r="L37" s="18" t="s">
        <v>98</v>
      </c>
      <c r="M37" s="30"/>
      <c r="N37" s="25" t="str">
        <f aca="false">IF(AND(ISNUMBER(J37),ISNUMBER(K37),ISNUMBER(M37),K37&lt;&gt;J37),MAX(0,MIN(1,(M37-J37)/(K37-J37))),"")</f>
        <v/>
      </c>
      <c r="O37" s="26"/>
      <c r="P37" s="6"/>
      <c r="Q37" s="6"/>
    </row>
    <row r="38" customFormat="false" ht="15" hidden="false" customHeight="false" outlineLevel="0" collapsed="false">
      <c r="A38" s="6" t="s">
        <v>193</v>
      </c>
      <c r="B38" s="18" t="s">
        <v>63</v>
      </c>
      <c r="C38" s="6" t="s">
        <v>194</v>
      </c>
      <c r="E38" s="19" t="s">
        <v>97</v>
      </c>
      <c r="F38" s="20" t="s">
        <v>79</v>
      </c>
      <c r="G38" s="20" t="s">
        <v>74</v>
      </c>
      <c r="H38" s="20" t="s">
        <v>97</v>
      </c>
      <c r="I38" s="20" t="s">
        <v>97</v>
      </c>
      <c r="J38" s="22" t="n">
        <v>0</v>
      </c>
      <c r="K38" s="29" t="n">
        <v>4</v>
      </c>
      <c r="L38" s="18" t="s">
        <v>98</v>
      </c>
      <c r="M38" s="30"/>
      <c r="N38" s="25" t="str">
        <f aca="false">IF(AND(ISNUMBER(J38),ISNUMBER(K38),ISNUMBER(M38),K38&lt;&gt;J38),MAX(0,MIN(1,(M38-J38)/(K38-J38))),"")</f>
        <v/>
      </c>
      <c r="O38" s="26"/>
      <c r="P38" s="6"/>
      <c r="Q38" s="6"/>
    </row>
  </sheetData>
  <autoFilter ref="A4:Q4"/>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Q12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58"/>
    <col collapsed="false" customWidth="true" hidden="false" outlineLevel="0" max="4" min="4" style="0" width="30"/>
    <col collapsed="false" customWidth="true" hidden="false" outlineLevel="0" max="5" min="5" style="0" width="12"/>
    <col collapsed="false" customWidth="true" hidden="false" outlineLevel="0" max="6" min="6" style="0" width="13"/>
    <col collapsed="false" customWidth="true" hidden="false" outlineLevel="0" max="7" min="7" style="0" width="9"/>
    <col collapsed="false" customWidth="true" hidden="false" outlineLevel="0" max="10" min="8" style="0" width="13"/>
    <col collapsed="false" customWidth="true" hidden="false" outlineLevel="0" max="11" min="11" style="0" width="14"/>
    <col collapsed="false" customWidth="true" hidden="false" outlineLevel="0" max="12" min="12" style="0" width="34"/>
    <col collapsed="false" customWidth="true" hidden="false" outlineLevel="0" max="13" min="13" style="0" width="13"/>
    <col collapsed="false" customWidth="true" hidden="false" outlineLevel="0" max="14" min="14" style="0" width="9"/>
    <col collapsed="false" customWidth="true" hidden="false" outlineLevel="0" max="15" min="15" style="0" width="40"/>
    <col collapsed="false" customWidth="true" hidden="false" outlineLevel="0" max="16" min="16" style="0" width="50"/>
    <col collapsed="false" customWidth="true" hidden="false" outlineLevel="0" max="17" min="17" style="0" width="34"/>
  </cols>
  <sheetData>
    <row r="1" customFormat="false" ht="17.9" hidden="false" customHeight="false" outlineLevel="0" collapsed="false">
      <c r="A1" s="9" t="s">
        <v>195</v>
      </c>
      <c r="B1" s="9"/>
      <c r="C1" s="9"/>
      <c r="D1" s="9"/>
    </row>
    <row r="2" customFormat="false" ht="15" hidden="false" customHeight="false" outlineLevel="0" collapsed="false">
      <c r="A2" s="10" t="s">
        <v>196</v>
      </c>
      <c r="B2" s="10"/>
      <c r="C2" s="10"/>
      <c r="D2" s="10"/>
    </row>
    <row r="4" customFormat="false" ht="42" hidden="false" customHeight="true" outlineLevel="0" collapsed="false">
      <c r="A4" s="11" t="s">
        <v>47</v>
      </c>
      <c r="B4" s="11" t="s">
        <v>48</v>
      </c>
      <c r="C4" s="11" t="s">
        <v>49</v>
      </c>
      <c r="D4" s="11" t="s">
        <v>50</v>
      </c>
      <c r="E4" s="11" t="s">
        <v>51</v>
      </c>
      <c r="F4" s="11" t="s">
        <v>52</v>
      </c>
      <c r="G4" s="11" t="s">
        <v>26</v>
      </c>
      <c r="H4" s="11" t="s">
        <v>53</v>
      </c>
      <c r="I4" s="11" t="s">
        <v>54</v>
      </c>
      <c r="J4" s="11" t="s">
        <v>55</v>
      </c>
      <c r="K4" s="11" t="s">
        <v>56</v>
      </c>
      <c r="L4" s="11" t="s">
        <v>57</v>
      </c>
      <c r="M4" s="11" t="s">
        <v>58</v>
      </c>
      <c r="N4" s="11" t="s">
        <v>22</v>
      </c>
      <c r="O4" s="11" t="s">
        <v>59</v>
      </c>
      <c r="P4" s="11" t="s">
        <v>60</v>
      </c>
      <c r="Q4" s="11" t="s">
        <v>61</v>
      </c>
    </row>
    <row r="5" customFormat="false" ht="30" hidden="false" customHeight="true" outlineLevel="0" collapsed="false">
      <c r="A5" s="33" t="s">
        <v>197</v>
      </c>
      <c r="B5" s="34"/>
      <c r="C5" s="34"/>
      <c r="D5" s="34"/>
      <c r="E5" s="34"/>
      <c r="F5" s="34"/>
      <c r="G5" s="34"/>
      <c r="H5" s="34"/>
      <c r="I5" s="34"/>
      <c r="J5" s="34"/>
      <c r="K5" s="34"/>
      <c r="L5" s="34"/>
      <c r="M5" s="34"/>
      <c r="N5" s="34"/>
      <c r="O5" s="34"/>
      <c r="P5" s="34"/>
      <c r="Q5" s="34"/>
    </row>
    <row r="6" customFormat="false" ht="30" hidden="false" customHeight="true" outlineLevel="0" collapsed="false">
      <c r="A6" s="12" t="s">
        <v>198</v>
      </c>
      <c r="B6" s="12" t="s">
        <v>199</v>
      </c>
      <c r="C6" s="13" t="s">
        <v>200</v>
      </c>
      <c r="D6" s="14" t="s">
        <v>201</v>
      </c>
      <c r="E6" s="15"/>
      <c r="F6" s="15"/>
      <c r="G6" s="15"/>
      <c r="H6" s="15"/>
      <c r="I6" s="15"/>
      <c r="J6" s="15"/>
      <c r="K6" s="15"/>
      <c r="L6" s="15"/>
      <c r="M6" s="16" t="s">
        <v>66</v>
      </c>
      <c r="N6" s="17" t="n">
        <f aca="false">IFERROR(AVERAGE(N7:N9),"")</f>
        <v>0.5</v>
      </c>
      <c r="O6" s="14" t="s">
        <v>202</v>
      </c>
      <c r="P6" s="14"/>
      <c r="Q6" s="14"/>
    </row>
    <row r="7" customFormat="false" ht="15" hidden="false" customHeight="false" outlineLevel="0" collapsed="false">
      <c r="A7" s="6" t="s">
        <v>203</v>
      </c>
      <c r="B7" s="18" t="s">
        <v>199</v>
      </c>
      <c r="C7" s="6" t="s">
        <v>204</v>
      </c>
      <c r="E7" s="19" t="s">
        <v>205</v>
      </c>
      <c r="F7" s="20" t="s">
        <v>93</v>
      </c>
      <c r="G7" s="20" t="s">
        <v>74</v>
      </c>
      <c r="H7" s="22" t="n">
        <v>63</v>
      </c>
      <c r="I7" s="20" t="s">
        <v>97</v>
      </c>
      <c r="J7" s="22" t="n">
        <v>63</v>
      </c>
      <c r="K7" s="28" t="n">
        <v>70</v>
      </c>
      <c r="L7" s="18" t="s">
        <v>94</v>
      </c>
      <c r="M7" s="30"/>
      <c r="N7" s="25" t="str">
        <f aca="false">IF(AND(ISNUMBER(J7),ISNUMBER(K7),ISNUMBER(M7),K7&lt;&gt;J7),MAX(0,MIN(1,(M7-J7)/(K7-J7))),"")</f>
        <v/>
      </c>
      <c r="O7" s="26"/>
      <c r="P7" s="6"/>
      <c r="Q7" s="6"/>
    </row>
    <row r="8" customFormat="false" ht="32.8" hidden="false" customHeight="false" outlineLevel="0" collapsed="false">
      <c r="A8" s="6" t="s">
        <v>206</v>
      </c>
      <c r="B8" s="18" t="s">
        <v>199</v>
      </c>
      <c r="C8" s="6" t="s">
        <v>207</v>
      </c>
      <c r="E8" s="19" t="s">
        <v>208</v>
      </c>
      <c r="F8" s="20" t="s">
        <v>79</v>
      </c>
      <c r="G8" s="20" t="s">
        <v>74</v>
      </c>
      <c r="H8" s="22" t="n">
        <v>500</v>
      </c>
      <c r="I8" s="22" t="n">
        <v>392</v>
      </c>
      <c r="J8" s="22" t="n">
        <v>0</v>
      </c>
      <c r="K8" s="29" t="n">
        <v>784</v>
      </c>
      <c r="L8" s="18" t="s">
        <v>75</v>
      </c>
      <c r="M8" s="27" t="n">
        <v>392</v>
      </c>
      <c r="N8" s="25" t="n">
        <f aca="false">IF(AND(ISNUMBER(J8),ISNUMBER(K8),ISNUMBER(M8),K8&lt;&gt;J8),MAX(0,MIN(1,(M8-J8)/(K8-J8))),"")</f>
        <v>0.5</v>
      </c>
      <c r="O8" s="26"/>
      <c r="P8" s="6"/>
      <c r="Q8" s="6"/>
    </row>
    <row r="9" customFormat="false" ht="32.8" hidden="false" customHeight="false" outlineLevel="0" collapsed="false">
      <c r="A9" s="6" t="s">
        <v>209</v>
      </c>
      <c r="B9" s="18" t="s">
        <v>199</v>
      </c>
      <c r="C9" s="6" t="s">
        <v>210</v>
      </c>
      <c r="E9" s="19" t="s">
        <v>211</v>
      </c>
      <c r="F9" s="20" t="s">
        <v>79</v>
      </c>
      <c r="G9" s="20" t="s">
        <v>74</v>
      </c>
      <c r="H9" s="22" t="n">
        <v>15</v>
      </c>
      <c r="I9" s="22" t="n">
        <v>40</v>
      </c>
      <c r="J9" s="22" t="n">
        <v>0</v>
      </c>
      <c r="K9" s="29" t="n">
        <v>80</v>
      </c>
      <c r="L9" s="18" t="s">
        <v>75</v>
      </c>
      <c r="M9" s="27" t="n">
        <v>40</v>
      </c>
      <c r="N9" s="25" t="n">
        <f aca="false">IF(AND(ISNUMBER(J9),ISNUMBER(K9),ISNUMBER(M9),K9&lt;&gt;J9),MAX(0,MIN(1,(M9-J9)/(K9-J9))),"")</f>
        <v>0.5</v>
      </c>
      <c r="O9" s="26"/>
      <c r="P9" s="6"/>
      <c r="Q9" s="6"/>
    </row>
    <row r="10" customFormat="false" ht="30" hidden="false" customHeight="true" outlineLevel="0" collapsed="false">
      <c r="A10" s="12" t="s">
        <v>212</v>
      </c>
      <c r="B10" s="12" t="s">
        <v>199</v>
      </c>
      <c r="C10" s="13" t="s">
        <v>213</v>
      </c>
      <c r="D10" s="14" t="s">
        <v>201</v>
      </c>
      <c r="E10" s="15"/>
      <c r="F10" s="15"/>
      <c r="G10" s="15"/>
      <c r="H10" s="15"/>
      <c r="I10" s="15"/>
      <c r="J10" s="15"/>
      <c r="K10" s="15"/>
      <c r="L10" s="15"/>
      <c r="M10" s="16" t="s">
        <v>66</v>
      </c>
      <c r="N10" s="17" t="n">
        <f aca="false">IFERROR(AVERAGE(N11:N14),"")</f>
        <v>0</v>
      </c>
      <c r="O10" s="14" t="s">
        <v>214</v>
      </c>
      <c r="P10" s="14"/>
      <c r="Q10" s="14"/>
    </row>
    <row r="11" customFormat="false" ht="15" hidden="false" customHeight="false" outlineLevel="0" collapsed="false">
      <c r="A11" s="6" t="s">
        <v>215</v>
      </c>
      <c r="B11" s="18" t="s">
        <v>199</v>
      </c>
      <c r="C11" s="6" t="s">
        <v>141</v>
      </c>
      <c r="E11" s="19" t="s">
        <v>216</v>
      </c>
      <c r="F11" s="20" t="s">
        <v>117</v>
      </c>
      <c r="G11" s="20" t="s">
        <v>118</v>
      </c>
      <c r="H11" s="22" t="n">
        <v>8.1</v>
      </c>
      <c r="I11" s="22" t="n">
        <v>8.07</v>
      </c>
      <c r="J11" s="22" t="n">
        <v>8.07</v>
      </c>
      <c r="K11" s="28" t="n">
        <v>7</v>
      </c>
      <c r="L11" s="18" t="s">
        <v>119</v>
      </c>
      <c r="M11" s="27" t="n">
        <v>8.07</v>
      </c>
      <c r="N11" s="25" t="n">
        <f aca="false">IF(AND(ISNUMBER(J11),ISNUMBER(K11),ISNUMBER(M11),K11&lt;&gt;J11),MAX(0,MIN(1,(M11-J11)/(K11-J11))),"")</f>
        <v>-0</v>
      </c>
      <c r="O11" s="26"/>
      <c r="P11" s="6"/>
      <c r="Q11" s="6"/>
    </row>
    <row r="12" customFormat="false" ht="15" hidden="false" customHeight="false" outlineLevel="0" collapsed="false">
      <c r="A12" s="6" t="s">
        <v>217</v>
      </c>
      <c r="B12" s="18" t="s">
        <v>199</v>
      </c>
      <c r="C12" s="6" t="s">
        <v>218</v>
      </c>
      <c r="E12" s="19" t="s">
        <v>219</v>
      </c>
      <c r="F12" s="20" t="s">
        <v>93</v>
      </c>
      <c r="G12" s="20" t="s">
        <v>74</v>
      </c>
      <c r="H12" s="22" t="n">
        <v>92.91</v>
      </c>
      <c r="I12" s="22" t="n">
        <v>78.8</v>
      </c>
      <c r="J12" s="22" t="n">
        <v>78.8</v>
      </c>
      <c r="K12" s="28" t="n">
        <v>93</v>
      </c>
      <c r="L12" s="18" t="s">
        <v>119</v>
      </c>
      <c r="M12" s="27" t="n">
        <v>78.8</v>
      </c>
      <c r="N12" s="25" t="n">
        <f aca="false">IF(AND(ISNUMBER(J12),ISNUMBER(K12),ISNUMBER(M12),K12&lt;&gt;J12),MAX(0,MIN(1,(M12-J12)/(K12-J12))),"")</f>
        <v>0</v>
      </c>
      <c r="O12" s="26"/>
      <c r="P12" s="6"/>
      <c r="Q12" s="6"/>
    </row>
    <row r="13" customFormat="false" ht="15" hidden="false" customHeight="false" outlineLevel="0" collapsed="false">
      <c r="A13" s="6" t="s">
        <v>220</v>
      </c>
      <c r="B13" s="18" t="s">
        <v>199</v>
      </c>
      <c r="C13" s="6" t="s">
        <v>221</v>
      </c>
      <c r="E13" s="19" t="s">
        <v>222</v>
      </c>
      <c r="F13" s="20" t="s">
        <v>117</v>
      </c>
      <c r="G13" s="20" t="s">
        <v>118</v>
      </c>
      <c r="H13" s="22" t="n">
        <v>9.96</v>
      </c>
      <c r="I13" s="22" t="n">
        <v>9.16</v>
      </c>
      <c r="J13" s="22" t="n">
        <v>9.16</v>
      </c>
      <c r="K13" s="28" t="n">
        <v>5</v>
      </c>
      <c r="L13" s="18" t="s">
        <v>119</v>
      </c>
      <c r="M13" s="27" t="n">
        <v>9.16</v>
      </c>
      <c r="N13" s="25" t="n">
        <f aca="false">IF(AND(ISNUMBER(J13),ISNUMBER(K13),ISNUMBER(M13),K13&lt;&gt;J13),MAX(0,MIN(1,(M13-J13)/(K13-J13))),"")</f>
        <v>-0</v>
      </c>
      <c r="O13" s="26"/>
      <c r="P13" s="6"/>
      <c r="Q13" s="6"/>
    </row>
    <row r="14" customFormat="false" ht="22.35" hidden="false" customHeight="false" outlineLevel="0" collapsed="false">
      <c r="A14" s="6" t="s">
        <v>223</v>
      </c>
      <c r="B14" s="18" t="s">
        <v>199</v>
      </c>
      <c r="C14" s="6" t="s">
        <v>136</v>
      </c>
      <c r="E14" s="19" t="s">
        <v>224</v>
      </c>
      <c r="F14" s="20" t="s">
        <v>134</v>
      </c>
      <c r="G14" s="20" t="s">
        <v>118</v>
      </c>
      <c r="H14" s="22" t="n">
        <v>194.52</v>
      </c>
      <c r="I14" s="21" t="n">
        <v>1057.88</v>
      </c>
      <c r="J14" s="21" t="n">
        <v>1057.88</v>
      </c>
      <c r="K14" s="23" t="n">
        <v>1004.986</v>
      </c>
      <c r="L14" s="18" t="s">
        <v>138</v>
      </c>
      <c r="M14" s="24" t="n">
        <v>1057.88</v>
      </c>
      <c r="N14" s="25" t="n">
        <f aca="false">IF(AND(ISNUMBER(J14),ISNUMBER(K14),ISNUMBER(M14),K14&lt;&gt;J14),MAX(0,MIN(1,(M14-J14)/(K14-J14))),"")</f>
        <v>-0</v>
      </c>
      <c r="O14" s="31" t="s">
        <v>139</v>
      </c>
      <c r="P14" s="6"/>
      <c r="Q14" s="6"/>
    </row>
    <row r="15" customFormat="false" ht="30" hidden="false" customHeight="true" outlineLevel="0" collapsed="false">
      <c r="A15" s="12" t="s">
        <v>225</v>
      </c>
      <c r="B15" s="12" t="s">
        <v>199</v>
      </c>
      <c r="C15" s="13" t="s">
        <v>226</v>
      </c>
      <c r="D15" s="14" t="s">
        <v>227</v>
      </c>
      <c r="E15" s="15"/>
      <c r="F15" s="15"/>
      <c r="G15" s="15"/>
      <c r="H15" s="15"/>
      <c r="I15" s="15"/>
      <c r="J15" s="15"/>
      <c r="K15" s="15"/>
      <c r="L15" s="15"/>
      <c r="M15" s="16" t="s">
        <v>66</v>
      </c>
      <c r="N15" s="17" t="n">
        <f aca="false">IFERROR(AVERAGE(N16:N18),"")</f>
        <v>0</v>
      </c>
      <c r="O15" s="14" t="s">
        <v>228</v>
      </c>
      <c r="P15" s="14"/>
      <c r="Q15" s="14"/>
    </row>
    <row r="16" customFormat="false" ht="15" hidden="false" customHeight="false" outlineLevel="0" collapsed="false">
      <c r="A16" s="6" t="s">
        <v>229</v>
      </c>
      <c r="B16" s="18" t="s">
        <v>199</v>
      </c>
      <c r="C16" s="6" t="s">
        <v>230</v>
      </c>
      <c r="E16" s="19" t="s">
        <v>231</v>
      </c>
      <c r="F16" s="20" t="s">
        <v>117</v>
      </c>
      <c r="G16" s="20" t="s">
        <v>118</v>
      </c>
      <c r="H16" s="22" t="n">
        <v>6</v>
      </c>
      <c r="I16" s="22" t="n">
        <v>5.5</v>
      </c>
      <c r="J16" s="22" t="n">
        <v>5.5</v>
      </c>
      <c r="K16" s="29" t="n">
        <v>5.225</v>
      </c>
      <c r="L16" s="18" t="s">
        <v>138</v>
      </c>
      <c r="M16" s="27" t="n">
        <v>5.5</v>
      </c>
      <c r="N16" s="25" t="n">
        <f aca="false">IF(AND(ISNUMBER(J16),ISNUMBER(K16),ISNUMBER(M16),K16&lt;&gt;J16),MAX(0,MIN(1,(M16-J16)/(K16-J16))),"")</f>
        <v>-0</v>
      </c>
      <c r="O16" s="26"/>
      <c r="P16" s="6"/>
      <c r="Q16" s="6"/>
    </row>
    <row r="17" customFormat="false" ht="15" hidden="false" customHeight="false" outlineLevel="0" collapsed="false">
      <c r="A17" s="6" t="s">
        <v>232</v>
      </c>
      <c r="B17" s="18" t="s">
        <v>199</v>
      </c>
      <c r="C17" s="6" t="s">
        <v>233</v>
      </c>
      <c r="E17" s="19" t="s">
        <v>234</v>
      </c>
      <c r="F17" s="20" t="s">
        <v>93</v>
      </c>
      <c r="G17" s="20" t="s">
        <v>74</v>
      </c>
      <c r="H17" s="22" t="n">
        <v>60</v>
      </c>
      <c r="I17" s="20" t="s">
        <v>97</v>
      </c>
      <c r="J17" s="22" t="n">
        <v>60</v>
      </c>
      <c r="K17" s="29" t="n">
        <v>80</v>
      </c>
      <c r="L17" s="18" t="s">
        <v>168</v>
      </c>
      <c r="M17" s="30"/>
      <c r="N17" s="25" t="str">
        <f aca="false">IF(AND(ISNUMBER(J17),ISNUMBER(K17),ISNUMBER(M17),K17&lt;&gt;J17),MAX(0,MIN(1,(M17-J17)/(K17-J17))),"")</f>
        <v/>
      </c>
      <c r="O17" s="26"/>
      <c r="P17" s="6"/>
      <c r="Q17" s="6"/>
    </row>
    <row r="18" customFormat="false" ht="15" hidden="false" customHeight="false" outlineLevel="0" collapsed="false">
      <c r="A18" s="6" t="s">
        <v>235</v>
      </c>
      <c r="B18" s="18" t="s">
        <v>199</v>
      </c>
      <c r="C18" s="6" t="s">
        <v>236</v>
      </c>
      <c r="E18" s="19" t="s">
        <v>97</v>
      </c>
      <c r="F18" s="20" t="s">
        <v>93</v>
      </c>
      <c r="G18" s="20" t="s">
        <v>74</v>
      </c>
      <c r="H18" s="20" t="s">
        <v>97</v>
      </c>
      <c r="I18" s="20" t="s">
        <v>97</v>
      </c>
      <c r="J18" s="22" t="n">
        <v>0</v>
      </c>
      <c r="K18" s="29" t="n">
        <v>100</v>
      </c>
      <c r="L18" s="18" t="s">
        <v>98</v>
      </c>
      <c r="M18" s="30"/>
      <c r="N18" s="25" t="str">
        <f aca="false">IF(AND(ISNUMBER(J18),ISNUMBER(K18),ISNUMBER(M18),K18&lt;&gt;J18),MAX(0,MIN(1,(M18-J18)/(K18-J18))),"")</f>
        <v/>
      </c>
      <c r="O18" s="26"/>
      <c r="P18" s="6"/>
      <c r="Q18" s="6"/>
    </row>
    <row r="19" customFormat="false" ht="30" hidden="false" customHeight="true" outlineLevel="0" collapsed="false">
      <c r="A19" s="33" t="s">
        <v>237</v>
      </c>
      <c r="B19" s="34"/>
      <c r="C19" s="34"/>
      <c r="D19" s="34"/>
      <c r="E19" s="34"/>
      <c r="F19" s="34"/>
      <c r="G19" s="34"/>
      <c r="H19" s="34"/>
      <c r="I19" s="34"/>
      <c r="J19" s="34"/>
      <c r="K19" s="34"/>
      <c r="L19" s="34"/>
      <c r="M19" s="34"/>
      <c r="N19" s="34"/>
      <c r="O19" s="34"/>
      <c r="P19" s="34"/>
      <c r="Q19" s="34"/>
    </row>
    <row r="20" customFormat="false" ht="30" hidden="false" customHeight="true" outlineLevel="0" collapsed="false">
      <c r="A20" s="12" t="s">
        <v>238</v>
      </c>
      <c r="B20" s="12" t="s">
        <v>239</v>
      </c>
      <c r="C20" s="13" t="s">
        <v>240</v>
      </c>
      <c r="D20" s="14" t="s">
        <v>201</v>
      </c>
      <c r="E20" s="15"/>
      <c r="F20" s="15"/>
      <c r="G20" s="15"/>
      <c r="H20" s="15"/>
      <c r="I20" s="15"/>
      <c r="J20" s="15"/>
      <c r="K20" s="15"/>
      <c r="L20" s="15"/>
      <c r="M20" s="16" t="s">
        <v>66</v>
      </c>
      <c r="N20" s="17" t="n">
        <f aca="false">IFERROR(AVERAGE(N21:N23),"")</f>
        <v>0</v>
      </c>
      <c r="O20" s="14" t="s">
        <v>241</v>
      </c>
      <c r="P20" s="14"/>
      <c r="Q20" s="14"/>
    </row>
    <row r="21" customFormat="false" ht="23.85" hidden="false" customHeight="false" outlineLevel="0" collapsed="false">
      <c r="A21" s="6" t="s">
        <v>242</v>
      </c>
      <c r="B21" s="18" t="s">
        <v>239</v>
      </c>
      <c r="C21" s="6" t="s">
        <v>132</v>
      </c>
      <c r="E21" s="19" t="s">
        <v>243</v>
      </c>
      <c r="F21" s="20" t="s">
        <v>134</v>
      </c>
      <c r="G21" s="20" t="s">
        <v>118</v>
      </c>
      <c r="H21" s="21" t="n">
        <v>10207.4</v>
      </c>
      <c r="I21" s="21" t="n">
        <v>9438.09</v>
      </c>
      <c r="J21" s="21" t="n">
        <v>9438.09</v>
      </c>
      <c r="K21" s="32" t="n">
        <v>9000</v>
      </c>
      <c r="L21" s="18" t="s">
        <v>119</v>
      </c>
      <c r="M21" s="24" t="n">
        <v>9438.09</v>
      </c>
      <c r="N21" s="25" t="n">
        <f aca="false">IF(AND(ISNUMBER(J21),ISNUMBER(K21),ISNUMBER(M21),K21&lt;&gt;J21),MAX(0,MIN(1,(M21-J21)/(K21-J21))),"")</f>
        <v>-0</v>
      </c>
      <c r="O21" s="26"/>
      <c r="P21" s="6"/>
      <c r="Q21" s="6"/>
    </row>
    <row r="22" customFormat="false" ht="15" hidden="false" customHeight="false" outlineLevel="0" collapsed="false">
      <c r="A22" s="6" t="s">
        <v>244</v>
      </c>
      <c r="B22" s="18" t="s">
        <v>239</v>
      </c>
      <c r="C22" s="6" t="s">
        <v>245</v>
      </c>
      <c r="E22" s="19" t="s">
        <v>246</v>
      </c>
      <c r="F22" s="20" t="s">
        <v>134</v>
      </c>
      <c r="G22" s="20" t="s">
        <v>118</v>
      </c>
      <c r="H22" s="20" t="s">
        <v>97</v>
      </c>
      <c r="I22" s="22" t="n">
        <v>99.03</v>
      </c>
      <c r="J22" s="22" t="n">
        <v>99.03</v>
      </c>
      <c r="K22" s="29" t="n">
        <v>94.0785</v>
      </c>
      <c r="L22" s="18" t="s">
        <v>138</v>
      </c>
      <c r="M22" s="27" t="n">
        <v>99.03</v>
      </c>
      <c r="N22" s="25" t="n">
        <f aca="false">IF(AND(ISNUMBER(J22),ISNUMBER(K22),ISNUMBER(M22),K22&lt;&gt;J22),MAX(0,MIN(1,(M22-J22)/(K22-J22))),"")</f>
        <v>-0</v>
      </c>
      <c r="O22" s="26"/>
      <c r="P22" s="6"/>
      <c r="Q22" s="6"/>
    </row>
    <row r="23" customFormat="false" ht="15" hidden="false" customHeight="false" outlineLevel="0" collapsed="false">
      <c r="A23" s="6" t="s">
        <v>247</v>
      </c>
      <c r="B23" s="18" t="s">
        <v>239</v>
      </c>
      <c r="C23" s="6" t="s">
        <v>248</v>
      </c>
      <c r="E23" s="19" t="s">
        <v>249</v>
      </c>
      <c r="F23" s="20" t="s">
        <v>134</v>
      </c>
      <c r="G23" s="20" t="s">
        <v>118</v>
      </c>
      <c r="H23" s="20" t="s">
        <v>97</v>
      </c>
      <c r="I23" s="20" t="s">
        <v>97</v>
      </c>
      <c r="J23" s="20" t="s">
        <v>97</v>
      </c>
      <c r="K23" s="32" t="n">
        <v>3450</v>
      </c>
      <c r="L23" s="18" t="s">
        <v>250</v>
      </c>
      <c r="M23" s="30"/>
      <c r="N23" s="25" t="str">
        <f aca="false">IF(AND(ISNUMBER(J23),ISNUMBER(K23),ISNUMBER(M23),K23&lt;&gt;J23),MAX(0,MIN(1,(M23-J23)/(K23-J23))),"")</f>
        <v/>
      </c>
      <c r="O23" s="26"/>
      <c r="P23" s="6"/>
      <c r="Q23" s="6"/>
    </row>
    <row r="24" customFormat="false" ht="30" hidden="false" customHeight="true" outlineLevel="0" collapsed="false">
      <c r="A24" s="12" t="s">
        <v>251</v>
      </c>
      <c r="B24" s="12" t="s">
        <v>239</v>
      </c>
      <c r="C24" s="13" t="s">
        <v>252</v>
      </c>
      <c r="D24" s="14" t="s">
        <v>201</v>
      </c>
      <c r="E24" s="15"/>
      <c r="F24" s="15"/>
      <c r="G24" s="15"/>
      <c r="H24" s="15"/>
      <c r="I24" s="15"/>
      <c r="J24" s="15"/>
      <c r="K24" s="15"/>
      <c r="L24" s="15"/>
      <c r="M24" s="16" t="s">
        <v>66</v>
      </c>
      <c r="N24" s="17" t="n">
        <f aca="false">IFERROR(AVERAGE(N25:N27),"")</f>
        <v>0</v>
      </c>
      <c r="O24" s="14" t="s">
        <v>253</v>
      </c>
      <c r="P24" s="14"/>
      <c r="Q24" s="14"/>
    </row>
    <row r="25" customFormat="false" ht="15" hidden="false" customHeight="false" outlineLevel="0" collapsed="false">
      <c r="A25" s="6" t="s">
        <v>254</v>
      </c>
      <c r="B25" s="18" t="s">
        <v>239</v>
      </c>
      <c r="C25" s="6" t="s">
        <v>255</v>
      </c>
      <c r="E25" s="19" t="s">
        <v>256</v>
      </c>
      <c r="F25" s="20" t="s">
        <v>134</v>
      </c>
      <c r="G25" s="20" t="s">
        <v>118</v>
      </c>
      <c r="H25" s="22" t="n">
        <v>525.1</v>
      </c>
      <c r="I25" s="22" t="n">
        <v>746.39</v>
      </c>
      <c r="J25" s="22" t="n">
        <v>746.39</v>
      </c>
      <c r="K25" s="29" t="n">
        <v>709.0705</v>
      </c>
      <c r="L25" s="18" t="s">
        <v>138</v>
      </c>
      <c r="M25" s="27" t="n">
        <v>746.39</v>
      </c>
      <c r="N25" s="25" t="n">
        <f aca="false">IF(AND(ISNUMBER(J25),ISNUMBER(K25),ISNUMBER(M25),K25&lt;&gt;J25),MAX(0,MIN(1,(M25-J25)/(K25-J25))),"")</f>
        <v>-0</v>
      </c>
      <c r="O25" s="26"/>
      <c r="P25" s="6"/>
      <c r="Q25" s="6"/>
    </row>
    <row r="26" customFormat="false" ht="15" hidden="false" customHeight="false" outlineLevel="0" collapsed="false">
      <c r="A26" s="6" t="s">
        <v>257</v>
      </c>
      <c r="B26" s="18" t="s">
        <v>239</v>
      </c>
      <c r="C26" s="6" t="s">
        <v>258</v>
      </c>
      <c r="E26" s="19" t="s">
        <v>259</v>
      </c>
      <c r="F26" s="20" t="s">
        <v>134</v>
      </c>
      <c r="G26" s="20" t="s">
        <v>118</v>
      </c>
      <c r="H26" s="22" t="n">
        <v>199.4</v>
      </c>
      <c r="I26" s="22" t="n">
        <v>340.87</v>
      </c>
      <c r="J26" s="22" t="n">
        <v>340.87</v>
      </c>
      <c r="K26" s="29" t="n">
        <v>323.8265</v>
      </c>
      <c r="L26" s="18" t="s">
        <v>138</v>
      </c>
      <c r="M26" s="27" t="n">
        <v>340.87</v>
      </c>
      <c r="N26" s="25" t="n">
        <f aca="false">IF(AND(ISNUMBER(J26),ISNUMBER(K26),ISNUMBER(M26),K26&lt;&gt;J26),MAX(0,MIN(1,(M26-J26)/(K26-J26))),"")</f>
        <v>-0</v>
      </c>
      <c r="O26" s="26"/>
      <c r="P26" s="6"/>
      <c r="Q26" s="6"/>
    </row>
    <row r="27" customFormat="false" ht="15" hidden="false" customHeight="false" outlineLevel="0" collapsed="false">
      <c r="A27" s="6" t="s">
        <v>260</v>
      </c>
      <c r="B27" s="18" t="s">
        <v>239</v>
      </c>
      <c r="C27" s="6" t="s">
        <v>261</v>
      </c>
      <c r="E27" s="19" t="s">
        <v>262</v>
      </c>
      <c r="F27" s="20" t="s">
        <v>93</v>
      </c>
      <c r="G27" s="20" t="s">
        <v>74</v>
      </c>
      <c r="H27" s="22" t="n">
        <v>98.8</v>
      </c>
      <c r="I27" s="22" t="n">
        <v>98.9</v>
      </c>
      <c r="J27" s="22" t="n">
        <v>98.9</v>
      </c>
      <c r="K27" s="29" t="n">
        <v>100</v>
      </c>
      <c r="L27" s="18" t="s">
        <v>138</v>
      </c>
      <c r="M27" s="27" t="n">
        <v>98.9</v>
      </c>
      <c r="N27" s="25" t="n">
        <f aca="false">IF(AND(ISNUMBER(J27),ISNUMBER(K27),ISNUMBER(M27),K27&lt;&gt;J27),MAX(0,MIN(1,(M27-J27)/(K27-J27))),"")</f>
        <v>0</v>
      </c>
      <c r="O27" s="26"/>
      <c r="P27" s="6"/>
      <c r="Q27" s="6"/>
    </row>
    <row r="28" customFormat="false" ht="30" hidden="false" customHeight="true" outlineLevel="0" collapsed="false">
      <c r="A28" s="12" t="s">
        <v>263</v>
      </c>
      <c r="B28" s="12" t="s">
        <v>239</v>
      </c>
      <c r="C28" s="13" t="s">
        <v>264</v>
      </c>
      <c r="D28" s="14" t="s">
        <v>265</v>
      </c>
      <c r="E28" s="15"/>
      <c r="F28" s="15"/>
      <c r="G28" s="15"/>
      <c r="H28" s="15"/>
      <c r="I28" s="15"/>
      <c r="J28" s="15"/>
      <c r="K28" s="15"/>
      <c r="L28" s="15"/>
      <c r="M28" s="16" t="s">
        <v>66</v>
      </c>
      <c r="N28" s="17" t="str">
        <f aca="false">IFERROR(AVERAGE(N29:N30),"")</f>
        <v/>
      </c>
      <c r="O28" s="14" t="s">
        <v>266</v>
      </c>
      <c r="P28" s="14"/>
      <c r="Q28" s="14"/>
    </row>
    <row r="29" customFormat="false" ht="15" hidden="false" customHeight="false" outlineLevel="0" collapsed="false">
      <c r="A29" s="6" t="s">
        <v>267</v>
      </c>
      <c r="B29" s="18" t="s">
        <v>239</v>
      </c>
      <c r="C29" s="6" t="s">
        <v>268</v>
      </c>
      <c r="E29" s="19" t="s">
        <v>269</v>
      </c>
      <c r="F29" s="20" t="s">
        <v>93</v>
      </c>
      <c r="G29" s="20" t="s">
        <v>74</v>
      </c>
      <c r="H29" s="20" t="s">
        <v>97</v>
      </c>
      <c r="I29" s="20" t="s">
        <v>97</v>
      </c>
      <c r="J29" s="20" t="s">
        <v>97</v>
      </c>
      <c r="K29" s="28" t="n">
        <v>67</v>
      </c>
      <c r="L29" s="18" t="s">
        <v>149</v>
      </c>
      <c r="M29" s="30"/>
      <c r="N29" s="25" t="str">
        <f aca="false">IF(AND(ISNUMBER(J29),ISNUMBER(K29),ISNUMBER(M29),K29&lt;&gt;J29),MAX(0,MIN(1,(M29-J29)/(K29-J29))),"")</f>
        <v/>
      </c>
      <c r="O29" s="26"/>
      <c r="P29" s="6"/>
      <c r="Q29" s="6"/>
    </row>
    <row r="30" customFormat="false" ht="15" hidden="false" customHeight="false" outlineLevel="0" collapsed="false">
      <c r="A30" s="6" t="s">
        <v>270</v>
      </c>
      <c r="B30" s="18" t="s">
        <v>239</v>
      </c>
      <c r="C30" s="6" t="s">
        <v>271</v>
      </c>
      <c r="E30" s="19" t="s">
        <v>97</v>
      </c>
      <c r="F30" s="20" t="s">
        <v>93</v>
      </c>
      <c r="G30" s="20" t="s">
        <v>74</v>
      </c>
      <c r="H30" s="20" t="s">
        <v>97</v>
      </c>
      <c r="I30" s="20" t="s">
        <v>97</v>
      </c>
      <c r="J30" s="22" t="n">
        <v>0</v>
      </c>
      <c r="K30" s="29" t="n">
        <v>100</v>
      </c>
      <c r="L30" s="18" t="s">
        <v>98</v>
      </c>
      <c r="M30" s="30"/>
      <c r="N30" s="25" t="str">
        <f aca="false">IF(AND(ISNUMBER(J30),ISNUMBER(K30),ISNUMBER(M30),K30&lt;&gt;J30),MAX(0,MIN(1,(M30-J30)/(K30-J30))),"")</f>
        <v/>
      </c>
      <c r="O30" s="26"/>
      <c r="P30" s="6"/>
      <c r="Q30" s="6"/>
    </row>
    <row r="31" customFormat="false" ht="30" hidden="false" customHeight="true" outlineLevel="0" collapsed="false">
      <c r="A31" s="33" t="s">
        <v>272</v>
      </c>
      <c r="B31" s="34"/>
      <c r="C31" s="34"/>
      <c r="D31" s="34"/>
      <c r="E31" s="34"/>
      <c r="F31" s="34"/>
      <c r="G31" s="34"/>
      <c r="H31" s="34"/>
      <c r="I31" s="34"/>
      <c r="J31" s="34"/>
      <c r="K31" s="34"/>
      <c r="L31" s="34"/>
      <c r="M31" s="34"/>
      <c r="N31" s="34"/>
      <c r="O31" s="34"/>
      <c r="P31" s="34"/>
      <c r="Q31" s="34"/>
    </row>
    <row r="32" customFormat="false" ht="30" hidden="false" customHeight="true" outlineLevel="0" collapsed="false">
      <c r="A32" s="12" t="s">
        <v>273</v>
      </c>
      <c r="B32" s="12" t="s">
        <v>274</v>
      </c>
      <c r="C32" s="13" t="s">
        <v>275</v>
      </c>
      <c r="D32" s="14" t="s">
        <v>276</v>
      </c>
      <c r="E32" s="15"/>
      <c r="F32" s="15"/>
      <c r="G32" s="15"/>
      <c r="H32" s="15"/>
      <c r="I32" s="15"/>
      <c r="J32" s="15"/>
      <c r="K32" s="15"/>
      <c r="L32" s="15"/>
      <c r="M32" s="16" t="s">
        <v>66</v>
      </c>
      <c r="N32" s="17" t="n">
        <f aca="false">IFERROR(AVERAGE(N33:N36),"")</f>
        <v>0.412284336182409</v>
      </c>
      <c r="O32" s="14" t="s">
        <v>277</v>
      </c>
      <c r="P32" s="14"/>
      <c r="Q32" s="14"/>
    </row>
    <row r="33" customFormat="false" ht="32.8" hidden="false" customHeight="false" outlineLevel="0" collapsed="false">
      <c r="A33" s="6" t="s">
        <v>278</v>
      </c>
      <c r="B33" s="18" t="s">
        <v>274</v>
      </c>
      <c r="C33" s="6" t="s">
        <v>88</v>
      </c>
      <c r="E33" s="19" t="s">
        <v>279</v>
      </c>
      <c r="F33" s="20" t="s">
        <v>73</v>
      </c>
      <c r="G33" s="20" t="s">
        <v>74</v>
      </c>
      <c r="H33" s="21" t="n">
        <v>10984.5</v>
      </c>
      <c r="I33" s="21" t="n">
        <v>6548.22</v>
      </c>
      <c r="J33" s="22" t="n">
        <v>0</v>
      </c>
      <c r="K33" s="23" t="n">
        <v>17186.14</v>
      </c>
      <c r="L33" s="18" t="s">
        <v>75</v>
      </c>
      <c r="M33" s="24" t="n">
        <v>6548.22</v>
      </c>
      <c r="N33" s="25" t="n">
        <f aca="false">IF(AND(ISNUMBER(J33),ISNUMBER(K33),ISNUMBER(M33),K33&lt;&gt;J33),MAX(0,MIN(1,(M33-J33)/(K33-J33))),"")</f>
        <v>0.381017494329733</v>
      </c>
      <c r="O33" s="26"/>
      <c r="P33" s="6"/>
      <c r="Q33" s="6"/>
    </row>
    <row r="34" customFormat="false" ht="32.8" hidden="false" customHeight="false" outlineLevel="0" collapsed="false">
      <c r="A34" s="6" t="s">
        <v>280</v>
      </c>
      <c r="B34" s="18" t="s">
        <v>274</v>
      </c>
      <c r="C34" s="6" t="s">
        <v>281</v>
      </c>
      <c r="E34" s="19" t="s">
        <v>282</v>
      </c>
      <c r="F34" s="20" t="s">
        <v>73</v>
      </c>
      <c r="G34" s="20" t="s">
        <v>74</v>
      </c>
      <c r="H34" s="21" t="n">
        <v>1565.97</v>
      </c>
      <c r="I34" s="22" t="n">
        <v>755.61</v>
      </c>
      <c r="J34" s="22" t="n">
        <v>0</v>
      </c>
      <c r="K34" s="23" t="n">
        <v>2818.18</v>
      </c>
      <c r="L34" s="18" t="s">
        <v>75</v>
      </c>
      <c r="M34" s="27" t="n">
        <v>755.61</v>
      </c>
      <c r="N34" s="25" t="n">
        <f aca="false">IF(AND(ISNUMBER(J34),ISNUMBER(K34),ISNUMBER(M34),K34&lt;&gt;J34),MAX(0,MIN(1,(M34-J34)/(K34-J34))),"")</f>
        <v>0.268119850399904</v>
      </c>
      <c r="O34" s="26"/>
      <c r="P34" s="6"/>
      <c r="Q34" s="6"/>
    </row>
    <row r="35" customFormat="false" ht="32.8" hidden="false" customHeight="false" outlineLevel="0" collapsed="false">
      <c r="A35" s="6" t="s">
        <v>283</v>
      </c>
      <c r="B35" s="18" t="s">
        <v>274</v>
      </c>
      <c r="C35" s="6" t="s">
        <v>284</v>
      </c>
      <c r="E35" s="19" t="s">
        <v>285</v>
      </c>
      <c r="F35" s="20" t="s">
        <v>73</v>
      </c>
      <c r="G35" s="20" t="s">
        <v>74</v>
      </c>
      <c r="H35" s="21" t="n">
        <v>6266.36</v>
      </c>
      <c r="I35" s="21" t="n">
        <v>4082.62</v>
      </c>
      <c r="J35" s="22" t="n">
        <v>0</v>
      </c>
      <c r="K35" s="23" t="n">
        <v>8165.24</v>
      </c>
      <c r="L35" s="18" t="s">
        <v>75</v>
      </c>
      <c r="M35" s="24" t="n">
        <v>4082.62</v>
      </c>
      <c r="N35" s="25" t="n">
        <f aca="false">IF(AND(ISNUMBER(J35),ISNUMBER(K35),ISNUMBER(M35),K35&lt;&gt;J35),MAX(0,MIN(1,(M35-J35)/(K35-J35))),"")</f>
        <v>0.5</v>
      </c>
      <c r="O35" s="26"/>
      <c r="P35" s="6"/>
      <c r="Q35" s="6"/>
    </row>
    <row r="36" customFormat="false" ht="32.8" hidden="false" customHeight="false" outlineLevel="0" collapsed="false">
      <c r="A36" s="6" t="s">
        <v>286</v>
      </c>
      <c r="B36" s="18" t="s">
        <v>274</v>
      </c>
      <c r="C36" s="6" t="s">
        <v>287</v>
      </c>
      <c r="E36" s="19" t="s">
        <v>288</v>
      </c>
      <c r="F36" s="20" t="s">
        <v>289</v>
      </c>
      <c r="G36" s="20" t="s">
        <v>74</v>
      </c>
      <c r="H36" s="20" t="s">
        <v>97</v>
      </c>
      <c r="I36" s="21" t="n">
        <v>536862.66</v>
      </c>
      <c r="J36" s="22" t="n">
        <v>0</v>
      </c>
      <c r="K36" s="23" t="n">
        <v>1073725.32</v>
      </c>
      <c r="L36" s="18" t="s">
        <v>75</v>
      </c>
      <c r="M36" s="24" t="n">
        <v>536862.66</v>
      </c>
      <c r="N36" s="25" t="n">
        <f aca="false">IF(AND(ISNUMBER(J36),ISNUMBER(K36),ISNUMBER(M36),K36&lt;&gt;J36),MAX(0,MIN(1,(M36-J36)/(K36-J36))),"")</f>
        <v>0.5</v>
      </c>
      <c r="O36" s="26"/>
      <c r="P36" s="6"/>
      <c r="Q36" s="6"/>
    </row>
    <row r="37" customFormat="false" ht="30" hidden="false" customHeight="true" outlineLevel="0" collapsed="false">
      <c r="A37" s="12" t="s">
        <v>290</v>
      </c>
      <c r="B37" s="12" t="s">
        <v>274</v>
      </c>
      <c r="C37" s="13" t="s">
        <v>291</v>
      </c>
      <c r="D37" s="14" t="s">
        <v>201</v>
      </c>
      <c r="E37" s="15"/>
      <c r="F37" s="15"/>
      <c r="G37" s="15"/>
      <c r="H37" s="15"/>
      <c r="I37" s="15"/>
      <c r="J37" s="15"/>
      <c r="K37" s="15"/>
      <c r="L37" s="15"/>
      <c r="M37" s="16" t="s">
        <v>66</v>
      </c>
      <c r="N37" s="17" t="n">
        <f aca="false">IFERROR(AVERAGE(N38:N41),"")</f>
        <v>0</v>
      </c>
      <c r="O37" s="14" t="s">
        <v>292</v>
      </c>
      <c r="P37" s="14"/>
      <c r="Q37" s="14"/>
    </row>
    <row r="38" customFormat="false" ht="15" hidden="false" customHeight="false" outlineLevel="0" collapsed="false">
      <c r="A38" s="6" t="s">
        <v>293</v>
      </c>
      <c r="B38" s="18" t="s">
        <v>274</v>
      </c>
      <c r="C38" s="6" t="s">
        <v>129</v>
      </c>
      <c r="E38" s="19" t="s">
        <v>294</v>
      </c>
      <c r="F38" s="20" t="s">
        <v>93</v>
      </c>
      <c r="G38" s="20" t="s">
        <v>74</v>
      </c>
      <c r="H38" s="20" t="s">
        <v>97</v>
      </c>
      <c r="I38" s="22" t="n">
        <v>80.14</v>
      </c>
      <c r="J38" s="22" t="n">
        <v>80.14</v>
      </c>
      <c r="K38" s="28" t="n">
        <v>82</v>
      </c>
      <c r="L38" s="18" t="s">
        <v>94</v>
      </c>
      <c r="M38" s="27" t="n">
        <v>80.14</v>
      </c>
      <c r="N38" s="25" t="n">
        <f aca="false">IF(AND(ISNUMBER(J38),ISNUMBER(K38),ISNUMBER(M38),K38&lt;&gt;J38),MAX(0,MIN(1,(M38-J38)/(K38-J38))),"")</f>
        <v>0</v>
      </c>
      <c r="O38" s="26"/>
      <c r="P38" s="6"/>
      <c r="Q38" s="6"/>
    </row>
    <row r="39" customFormat="false" ht="15" hidden="false" customHeight="false" outlineLevel="0" collapsed="false">
      <c r="A39" s="6" t="s">
        <v>295</v>
      </c>
      <c r="B39" s="18" t="s">
        <v>274</v>
      </c>
      <c r="C39" s="6" t="s">
        <v>296</v>
      </c>
      <c r="E39" s="19" t="s">
        <v>297</v>
      </c>
      <c r="F39" s="20" t="s">
        <v>117</v>
      </c>
      <c r="G39" s="20" t="s">
        <v>118</v>
      </c>
      <c r="H39" s="22" t="n">
        <v>1.18</v>
      </c>
      <c r="I39" s="22" t="n">
        <v>1.78</v>
      </c>
      <c r="J39" s="22" t="n">
        <v>1.78</v>
      </c>
      <c r="K39" s="28" t="n">
        <v>1.1</v>
      </c>
      <c r="L39" s="18" t="s">
        <v>119</v>
      </c>
      <c r="M39" s="27" t="n">
        <v>1.78</v>
      </c>
      <c r="N39" s="25" t="n">
        <f aca="false">IF(AND(ISNUMBER(J39),ISNUMBER(K39),ISNUMBER(M39),K39&lt;&gt;J39),MAX(0,MIN(1,(M39-J39)/(K39-J39))),"")</f>
        <v>-0</v>
      </c>
      <c r="O39" s="26"/>
      <c r="P39" s="6"/>
      <c r="Q39" s="6"/>
    </row>
    <row r="40" customFormat="false" ht="22.35" hidden="false" customHeight="false" outlineLevel="0" collapsed="false">
      <c r="A40" s="6" t="s">
        <v>298</v>
      </c>
      <c r="B40" s="18" t="s">
        <v>274</v>
      </c>
      <c r="C40" s="6" t="s">
        <v>299</v>
      </c>
      <c r="E40" s="19" t="s">
        <v>300</v>
      </c>
      <c r="F40" s="20" t="s">
        <v>117</v>
      </c>
      <c r="G40" s="20" t="s">
        <v>118</v>
      </c>
      <c r="H40" s="22" t="n">
        <v>0.62</v>
      </c>
      <c r="I40" s="22" t="n">
        <v>1.61</v>
      </c>
      <c r="J40" s="22" t="n">
        <v>1.61</v>
      </c>
      <c r="K40" s="28" t="n">
        <v>1</v>
      </c>
      <c r="L40" s="18" t="s">
        <v>119</v>
      </c>
      <c r="M40" s="27" t="n">
        <v>1.61</v>
      </c>
      <c r="N40" s="25" t="n">
        <f aca="false">IF(AND(ISNUMBER(J40),ISNUMBER(K40),ISNUMBER(M40),K40&lt;&gt;J40),MAX(0,MIN(1,(M40-J40)/(K40-J40))),"")</f>
        <v>-0</v>
      </c>
      <c r="O40" s="31" t="s">
        <v>139</v>
      </c>
      <c r="P40" s="6"/>
      <c r="Q40" s="6"/>
    </row>
    <row r="41" customFormat="false" ht="15" hidden="false" customHeight="false" outlineLevel="0" collapsed="false">
      <c r="A41" s="6" t="s">
        <v>301</v>
      </c>
      <c r="B41" s="18" t="s">
        <v>274</v>
      </c>
      <c r="C41" s="6" t="s">
        <v>302</v>
      </c>
      <c r="E41" s="19" t="s">
        <v>303</v>
      </c>
      <c r="F41" s="20" t="s">
        <v>134</v>
      </c>
      <c r="G41" s="20" t="s">
        <v>118</v>
      </c>
      <c r="H41" s="21" t="n">
        <v>10196.3</v>
      </c>
      <c r="I41" s="21" t="n">
        <v>14021.95</v>
      </c>
      <c r="J41" s="21" t="n">
        <v>14021.95</v>
      </c>
      <c r="K41" s="32" t="n">
        <v>9000</v>
      </c>
      <c r="L41" s="18" t="s">
        <v>119</v>
      </c>
      <c r="M41" s="24" t="n">
        <v>14021.95</v>
      </c>
      <c r="N41" s="25" t="n">
        <f aca="false">IF(AND(ISNUMBER(J41),ISNUMBER(K41),ISNUMBER(M41),K41&lt;&gt;J41),MAX(0,MIN(1,(M41-J41)/(K41-J41))),"")</f>
        <v>-0</v>
      </c>
      <c r="O41" s="26"/>
      <c r="P41" s="6"/>
      <c r="Q41" s="6"/>
    </row>
    <row r="42" customFormat="false" ht="30" hidden="false" customHeight="true" outlineLevel="0" collapsed="false">
      <c r="A42" s="12" t="s">
        <v>304</v>
      </c>
      <c r="B42" s="12" t="s">
        <v>274</v>
      </c>
      <c r="C42" s="13" t="s">
        <v>305</v>
      </c>
      <c r="D42" s="14" t="s">
        <v>265</v>
      </c>
      <c r="E42" s="15"/>
      <c r="F42" s="15"/>
      <c r="G42" s="15"/>
      <c r="H42" s="15"/>
      <c r="I42" s="15"/>
      <c r="J42" s="15"/>
      <c r="K42" s="15"/>
      <c r="L42" s="15"/>
      <c r="M42" s="16" t="s">
        <v>66</v>
      </c>
      <c r="N42" s="17" t="n">
        <f aca="false">IFERROR(AVERAGE(N43:N46),"")</f>
        <v>0</v>
      </c>
      <c r="O42" s="14" t="s">
        <v>306</v>
      </c>
      <c r="P42" s="14"/>
      <c r="Q42" s="14"/>
    </row>
    <row r="43" customFormat="false" ht="15" hidden="false" customHeight="false" outlineLevel="0" collapsed="false">
      <c r="A43" s="6" t="s">
        <v>307</v>
      </c>
      <c r="B43" s="18" t="s">
        <v>274</v>
      </c>
      <c r="C43" s="6" t="s">
        <v>147</v>
      </c>
      <c r="E43" s="19" t="s">
        <v>308</v>
      </c>
      <c r="F43" s="20" t="s">
        <v>93</v>
      </c>
      <c r="G43" s="20" t="s">
        <v>74</v>
      </c>
      <c r="H43" s="20" t="s">
        <v>97</v>
      </c>
      <c r="I43" s="20" t="s">
        <v>97</v>
      </c>
      <c r="J43" s="20" t="s">
        <v>97</v>
      </c>
      <c r="K43" s="28" t="n">
        <v>85</v>
      </c>
      <c r="L43" s="18" t="s">
        <v>149</v>
      </c>
      <c r="M43" s="30"/>
      <c r="N43" s="25" t="str">
        <f aca="false">IF(AND(ISNUMBER(J43),ISNUMBER(K43),ISNUMBER(M43),K43&lt;&gt;J43),MAX(0,MIN(1,(M43-J43)/(K43-J43))),"")</f>
        <v/>
      </c>
      <c r="O43" s="26"/>
      <c r="P43" s="6"/>
      <c r="Q43" s="6"/>
    </row>
    <row r="44" customFormat="false" ht="15" hidden="false" customHeight="false" outlineLevel="0" collapsed="false">
      <c r="A44" s="6" t="s">
        <v>309</v>
      </c>
      <c r="B44" s="18" t="s">
        <v>274</v>
      </c>
      <c r="C44" s="6" t="s">
        <v>310</v>
      </c>
      <c r="E44" s="19" t="s">
        <v>311</v>
      </c>
      <c r="F44" s="20" t="s">
        <v>93</v>
      </c>
      <c r="G44" s="20" t="s">
        <v>74</v>
      </c>
      <c r="H44" s="22" t="n">
        <v>78.38</v>
      </c>
      <c r="I44" s="20" t="s">
        <v>97</v>
      </c>
      <c r="J44" s="22" t="n">
        <v>78.38</v>
      </c>
      <c r="K44" s="29" t="n">
        <v>82.299</v>
      </c>
      <c r="L44" s="18" t="s">
        <v>138</v>
      </c>
      <c r="M44" s="30"/>
      <c r="N44" s="25" t="str">
        <f aca="false">IF(AND(ISNUMBER(J44),ISNUMBER(K44),ISNUMBER(M44),K44&lt;&gt;J44),MAX(0,MIN(1,(M44-J44)/(K44-J44))),"")</f>
        <v/>
      </c>
      <c r="O44" s="26"/>
      <c r="P44" s="6"/>
      <c r="Q44" s="6"/>
    </row>
    <row r="45" customFormat="false" ht="15" hidden="false" customHeight="false" outlineLevel="0" collapsed="false">
      <c r="A45" s="6" t="s">
        <v>312</v>
      </c>
      <c r="B45" s="18" t="s">
        <v>274</v>
      </c>
      <c r="C45" s="6" t="s">
        <v>313</v>
      </c>
      <c r="E45" s="19" t="s">
        <v>314</v>
      </c>
      <c r="F45" s="20" t="s">
        <v>93</v>
      </c>
      <c r="G45" s="20" t="s">
        <v>74</v>
      </c>
      <c r="H45" s="22" t="n">
        <v>94.82</v>
      </c>
      <c r="I45" s="22" t="n">
        <v>95.07</v>
      </c>
      <c r="J45" s="22" t="n">
        <v>95.07</v>
      </c>
      <c r="K45" s="28" t="n">
        <v>96</v>
      </c>
      <c r="L45" s="18" t="s">
        <v>119</v>
      </c>
      <c r="M45" s="27" t="n">
        <v>95.07</v>
      </c>
      <c r="N45" s="25" t="n">
        <f aca="false">IF(AND(ISNUMBER(J45),ISNUMBER(K45),ISNUMBER(M45),K45&lt;&gt;J45),MAX(0,MIN(1,(M45-J45)/(K45-J45))),"")</f>
        <v>0</v>
      </c>
      <c r="O45" s="26"/>
      <c r="P45" s="6"/>
      <c r="Q45" s="6"/>
    </row>
    <row r="46" customFormat="false" ht="15" hidden="false" customHeight="false" outlineLevel="0" collapsed="false">
      <c r="A46" s="6" t="s">
        <v>315</v>
      </c>
      <c r="B46" s="18" t="s">
        <v>274</v>
      </c>
      <c r="C46" s="6" t="s">
        <v>316</v>
      </c>
      <c r="E46" s="19" t="s">
        <v>317</v>
      </c>
      <c r="F46" s="20" t="s">
        <v>79</v>
      </c>
      <c r="G46" s="20" t="s">
        <v>74</v>
      </c>
      <c r="H46" s="22" t="n">
        <v>60</v>
      </c>
      <c r="I46" s="22" t="n">
        <v>60</v>
      </c>
      <c r="J46" s="22" t="n">
        <v>60</v>
      </c>
      <c r="K46" s="28" t="n">
        <v>70</v>
      </c>
      <c r="L46" s="18" t="s">
        <v>119</v>
      </c>
      <c r="M46" s="27" t="n">
        <v>60</v>
      </c>
      <c r="N46" s="25" t="n">
        <f aca="false">IF(AND(ISNUMBER(J46),ISNUMBER(K46),ISNUMBER(M46),K46&lt;&gt;J46),MAX(0,MIN(1,(M46-J46)/(K46-J46))),"")</f>
        <v>0</v>
      </c>
      <c r="O46" s="26"/>
      <c r="P46" s="6"/>
      <c r="Q46" s="6"/>
    </row>
    <row r="47" customFormat="false" ht="30" hidden="false" customHeight="true" outlineLevel="0" collapsed="false">
      <c r="A47" s="33" t="s">
        <v>318</v>
      </c>
      <c r="B47" s="34"/>
      <c r="C47" s="34"/>
      <c r="D47" s="34"/>
      <c r="E47" s="34"/>
      <c r="F47" s="34"/>
      <c r="G47" s="34"/>
      <c r="H47" s="34"/>
      <c r="I47" s="34"/>
      <c r="J47" s="34"/>
      <c r="K47" s="34"/>
      <c r="L47" s="34"/>
      <c r="M47" s="34"/>
      <c r="N47" s="34"/>
      <c r="O47" s="34"/>
      <c r="P47" s="34"/>
      <c r="Q47" s="34"/>
    </row>
    <row r="48" customFormat="false" ht="30" hidden="false" customHeight="true" outlineLevel="0" collapsed="false">
      <c r="A48" s="12" t="s">
        <v>319</v>
      </c>
      <c r="B48" s="12" t="s">
        <v>320</v>
      </c>
      <c r="C48" s="13" t="s">
        <v>321</v>
      </c>
      <c r="D48" s="14" t="s">
        <v>276</v>
      </c>
      <c r="E48" s="15"/>
      <c r="F48" s="15"/>
      <c r="G48" s="15"/>
      <c r="H48" s="15"/>
      <c r="I48" s="15"/>
      <c r="J48" s="15"/>
      <c r="K48" s="15"/>
      <c r="L48" s="15"/>
      <c r="M48" s="16" t="s">
        <v>66</v>
      </c>
      <c r="N48" s="17" t="n">
        <f aca="false">IFERROR(AVERAGE(N49:N52),"")</f>
        <v>0.114135861762725</v>
      </c>
      <c r="O48" s="14" t="s">
        <v>322</v>
      </c>
      <c r="P48" s="14"/>
      <c r="Q48" s="14"/>
    </row>
    <row r="49" customFormat="false" ht="15" hidden="false" customHeight="false" outlineLevel="0" collapsed="false">
      <c r="A49" s="6" t="s">
        <v>323</v>
      </c>
      <c r="B49" s="18" t="s">
        <v>320</v>
      </c>
      <c r="C49" s="6" t="s">
        <v>91</v>
      </c>
      <c r="E49" s="19" t="s">
        <v>92</v>
      </c>
      <c r="F49" s="20" t="s">
        <v>93</v>
      </c>
      <c r="G49" s="20" t="s">
        <v>74</v>
      </c>
      <c r="H49" s="22" t="n">
        <v>10.97</v>
      </c>
      <c r="I49" s="22" t="n">
        <v>14.57</v>
      </c>
      <c r="J49" s="22" t="n">
        <v>14.57</v>
      </c>
      <c r="K49" s="28" t="n">
        <v>15.47</v>
      </c>
      <c r="L49" s="18" t="s">
        <v>94</v>
      </c>
      <c r="M49" s="27" t="n">
        <v>14.57</v>
      </c>
      <c r="N49" s="25" t="n">
        <f aca="false">IF(AND(ISNUMBER(J49),ISNUMBER(K49),ISNUMBER(M49),K49&lt;&gt;J49),MAX(0,MIN(1,(M49-J49)/(K49-J49))),"")</f>
        <v>0</v>
      </c>
      <c r="O49" s="26"/>
      <c r="P49" s="6"/>
      <c r="Q49" s="6"/>
    </row>
    <row r="50" customFormat="false" ht="32.8" hidden="false" customHeight="false" outlineLevel="0" collapsed="false">
      <c r="A50" s="6" t="s">
        <v>324</v>
      </c>
      <c r="B50" s="18" t="s">
        <v>320</v>
      </c>
      <c r="C50" s="6" t="s">
        <v>85</v>
      </c>
      <c r="E50" s="19" t="s">
        <v>325</v>
      </c>
      <c r="F50" s="20" t="s">
        <v>73</v>
      </c>
      <c r="G50" s="20" t="s">
        <v>74</v>
      </c>
      <c r="H50" s="21" t="n">
        <v>6301.95</v>
      </c>
      <c r="I50" s="21" t="n">
        <v>2981.92</v>
      </c>
      <c r="J50" s="22" t="n">
        <v>0</v>
      </c>
      <c r="K50" s="23" t="n">
        <v>9813.72</v>
      </c>
      <c r="L50" s="18" t="s">
        <v>75</v>
      </c>
      <c r="M50" s="24" t="n">
        <v>2981.92</v>
      </c>
      <c r="N50" s="25" t="n">
        <f aca="false">IF(AND(ISNUMBER(J50),ISNUMBER(K50),ISNUMBER(M50),K50&lt;&gt;J50),MAX(0,MIN(1,(M50-J50)/(K50-J50))),"")</f>
        <v>0.303852157999209</v>
      </c>
      <c r="O50" s="26"/>
      <c r="P50" s="6"/>
      <c r="Q50" s="6"/>
    </row>
    <row r="51" customFormat="false" ht="32.8" hidden="false" customHeight="false" outlineLevel="0" collapsed="false">
      <c r="A51" s="6" t="s">
        <v>326</v>
      </c>
      <c r="B51" s="18" t="s">
        <v>320</v>
      </c>
      <c r="C51" s="6" t="s">
        <v>327</v>
      </c>
      <c r="E51" s="19" t="s">
        <v>328</v>
      </c>
      <c r="F51" s="20" t="s">
        <v>73</v>
      </c>
      <c r="G51" s="20" t="s">
        <v>74</v>
      </c>
      <c r="H51" s="21" t="n">
        <v>3803.49</v>
      </c>
      <c r="I51" s="21" t="n">
        <v>1158.82</v>
      </c>
      <c r="J51" s="22" t="n">
        <v>0</v>
      </c>
      <c r="K51" s="23" t="n">
        <v>7589.3</v>
      </c>
      <c r="L51" s="18" t="s">
        <v>75</v>
      </c>
      <c r="M51" s="24" t="n">
        <v>1158.82</v>
      </c>
      <c r="N51" s="25" t="n">
        <f aca="false">IF(AND(ISNUMBER(J51),ISNUMBER(K51),ISNUMBER(M51),K51&lt;&gt;J51),MAX(0,MIN(1,(M51-J51)/(K51-J51))),"")</f>
        <v>0.152691289051691</v>
      </c>
      <c r="O51" s="26"/>
      <c r="P51" s="6"/>
      <c r="Q51" s="6"/>
    </row>
    <row r="52" customFormat="false" ht="15" hidden="false" customHeight="false" outlineLevel="0" collapsed="false">
      <c r="A52" s="6" t="s">
        <v>329</v>
      </c>
      <c r="B52" s="18" t="s">
        <v>320</v>
      </c>
      <c r="C52" s="6" t="s">
        <v>330</v>
      </c>
      <c r="E52" s="19" t="s">
        <v>331</v>
      </c>
      <c r="F52" s="20" t="s">
        <v>79</v>
      </c>
      <c r="G52" s="20" t="s">
        <v>74</v>
      </c>
      <c r="H52" s="20" t="s">
        <v>97</v>
      </c>
      <c r="I52" s="22" t="n">
        <v>70</v>
      </c>
      <c r="J52" s="22" t="n">
        <v>70</v>
      </c>
      <c r="K52" s="28" t="n">
        <v>71</v>
      </c>
      <c r="L52" s="18" t="s">
        <v>119</v>
      </c>
      <c r="M52" s="27" t="n">
        <v>70</v>
      </c>
      <c r="N52" s="25" t="n">
        <f aca="false">IF(AND(ISNUMBER(J52),ISNUMBER(K52),ISNUMBER(M52),K52&lt;&gt;J52),MAX(0,MIN(1,(M52-J52)/(K52-J52))),"")</f>
        <v>0</v>
      </c>
      <c r="O52" s="26"/>
      <c r="P52" s="6"/>
      <c r="Q52" s="6"/>
    </row>
    <row r="53" customFormat="false" ht="30" hidden="false" customHeight="true" outlineLevel="0" collapsed="false">
      <c r="A53" s="12" t="s">
        <v>332</v>
      </c>
      <c r="B53" s="12" t="s">
        <v>320</v>
      </c>
      <c r="C53" s="13" t="s">
        <v>333</v>
      </c>
      <c r="D53" s="14" t="s">
        <v>201</v>
      </c>
      <c r="E53" s="15"/>
      <c r="F53" s="15"/>
      <c r="G53" s="15"/>
      <c r="H53" s="15"/>
      <c r="I53" s="15"/>
      <c r="J53" s="15"/>
      <c r="K53" s="15"/>
      <c r="L53" s="15"/>
      <c r="M53" s="16" t="s">
        <v>66</v>
      </c>
      <c r="N53" s="17" t="n">
        <f aca="false">IFERROR(AVERAGE(N54:N57),"")</f>
        <v>0</v>
      </c>
      <c r="O53" s="14" t="s">
        <v>334</v>
      </c>
      <c r="P53" s="14"/>
      <c r="Q53" s="14"/>
    </row>
    <row r="54" customFormat="false" ht="15" hidden="false" customHeight="false" outlineLevel="0" collapsed="false">
      <c r="A54" s="6" t="s">
        <v>335</v>
      </c>
      <c r="B54" s="18" t="s">
        <v>320</v>
      </c>
      <c r="C54" s="6" t="s">
        <v>336</v>
      </c>
      <c r="E54" s="19" t="s">
        <v>337</v>
      </c>
      <c r="F54" s="20" t="s">
        <v>93</v>
      </c>
      <c r="G54" s="20" t="s">
        <v>74</v>
      </c>
      <c r="H54" s="20" t="s">
        <v>97</v>
      </c>
      <c r="I54" s="22" t="n">
        <v>35</v>
      </c>
      <c r="J54" s="22" t="n">
        <v>35</v>
      </c>
      <c r="K54" s="29" t="n">
        <v>36.75</v>
      </c>
      <c r="L54" s="18" t="s">
        <v>138</v>
      </c>
      <c r="M54" s="27" t="n">
        <v>35</v>
      </c>
      <c r="N54" s="25" t="n">
        <f aca="false">IF(AND(ISNUMBER(J54),ISNUMBER(K54),ISNUMBER(M54),K54&lt;&gt;J54),MAX(0,MIN(1,(M54-J54)/(K54-J54))),"")</f>
        <v>0</v>
      </c>
      <c r="O54" s="26"/>
      <c r="P54" s="6"/>
      <c r="Q54" s="6"/>
    </row>
    <row r="55" customFormat="false" ht="15" hidden="false" customHeight="false" outlineLevel="0" collapsed="false">
      <c r="A55" s="6" t="s">
        <v>338</v>
      </c>
      <c r="B55" s="18" t="s">
        <v>320</v>
      </c>
      <c r="C55" s="6" t="s">
        <v>339</v>
      </c>
      <c r="E55" s="19" t="s">
        <v>340</v>
      </c>
      <c r="F55" s="20" t="s">
        <v>93</v>
      </c>
      <c r="G55" s="20" t="s">
        <v>74</v>
      </c>
      <c r="H55" s="20" t="s">
        <v>97</v>
      </c>
      <c r="I55" s="22" t="n">
        <v>10.5</v>
      </c>
      <c r="J55" s="22" t="n">
        <v>10.5</v>
      </c>
      <c r="K55" s="28" t="n">
        <v>13</v>
      </c>
      <c r="L55" s="18" t="s">
        <v>119</v>
      </c>
      <c r="M55" s="27" t="n">
        <v>10.5</v>
      </c>
      <c r="N55" s="25" t="n">
        <f aca="false">IF(AND(ISNUMBER(J55),ISNUMBER(K55),ISNUMBER(M55),K55&lt;&gt;J55),MAX(0,MIN(1,(M55-J55)/(K55-J55))),"")</f>
        <v>0</v>
      </c>
      <c r="O55" s="26"/>
      <c r="P55" s="6"/>
      <c r="Q55" s="6"/>
    </row>
    <row r="56" customFormat="false" ht="15" hidden="false" customHeight="false" outlineLevel="0" collapsed="false">
      <c r="A56" s="6" t="s">
        <v>341</v>
      </c>
      <c r="B56" s="18" t="s">
        <v>320</v>
      </c>
      <c r="C56" s="6" t="s">
        <v>342</v>
      </c>
      <c r="E56" s="19" t="s">
        <v>343</v>
      </c>
      <c r="F56" s="20" t="s">
        <v>93</v>
      </c>
      <c r="G56" s="20" t="s">
        <v>74</v>
      </c>
      <c r="H56" s="20" t="s">
        <v>97</v>
      </c>
      <c r="I56" s="22" t="n">
        <v>80.35</v>
      </c>
      <c r="J56" s="22" t="n">
        <v>80.35</v>
      </c>
      <c r="K56" s="28" t="n">
        <v>87</v>
      </c>
      <c r="L56" s="18" t="s">
        <v>119</v>
      </c>
      <c r="M56" s="27" t="n">
        <v>80.35</v>
      </c>
      <c r="N56" s="25" t="n">
        <f aca="false">IF(AND(ISNUMBER(J56),ISNUMBER(K56),ISNUMBER(M56),K56&lt;&gt;J56),MAX(0,MIN(1,(M56-J56)/(K56-J56))),"")</f>
        <v>0</v>
      </c>
      <c r="O56" s="26"/>
      <c r="P56" s="6"/>
      <c r="Q56" s="6"/>
    </row>
    <row r="57" customFormat="false" ht="15" hidden="false" customHeight="false" outlineLevel="0" collapsed="false">
      <c r="A57" s="6" t="s">
        <v>344</v>
      </c>
      <c r="B57" s="18" t="s">
        <v>320</v>
      </c>
      <c r="C57" s="6" t="s">
        <v>345</v>
      </c>
      <c r="E57" s="19" t="s">
        <v>346</v>
      </c>
      <c r="F57" s="20" t="s">
        <v>93</v>
      </c>
      <c r="G57" s="20" t="s">
        <v>74</v>
      </c>
      <c r="H57" s="22" t="n">
        <v>50.21</v>
      </c>
      <c r="I57" s="22" t="n">
        <v>50.27</v>
      </c>
      <c r="J57" s="22" t="n">
        <v>50.27</v>
      </c>
      <c r="K57" s="28" t="n">
        <v>52</v>
      </c>
      <c r="L57" s="18" t="s">
        <v>119</v>
      </c>
      <c r="M57" s="27" t="n">
        <v>50.27</v>
      </c>
      <c r="N57" s="25" t="n">
        <f aca="false">IF(AND(ISNUMBER(J57),ISNUMBER(K57),ISNUMBER(M57),K57&lt;&gt;J57),MAX(0,MIN(1,(M57-J57)/(K57-J57))),"")</f>
        <v>0</v>
      </c>
      <c r="O57" s="26"/>
      <c r="P57" s="6"/>
      <c r="Q57" s="6"/>
    </row>
    <row r="58" customFormat="false" ht="30" hidden="false" customHeight="true" outlineLevel="0" collapsed="false">
      <c r="A58" s="12" t="s">
        <v>347</v>
      </c>
      <c r="B58" s="12" t="s">
        <v>320</v>
      </c>
      <c r="C58" s="13" t="s">
        <v>348</v>
      </c>
      <c r="D58" s="14" t="s">
        <v>265</v>
      </c>
      <c r="E58" s="15"/>
      <c r="F58" s="15"/>
      <c r="G58" s="15"/>
      <c r="H58" s="15"/>
      <c r="I58" s="15"/>
      <c r="J58" s="15"/>
      <c r="K58" s="15"/>
      <c r="L58" s="15"/>
      <c r="M58" s="16" t="s">
        <v>66</v>
      </c>
      <c r="N58" s="17" t="str">
        <f aca="false">IFERROR(AVERAGE(N59:N61),"")</f>
        <v/>
      </c>
      <c r="O58" s="14" t="s">
        <v>349</v>
      </c>
      <c r="P58" s="14"/>
      <c r="Q58" s="14"/>
    </row>
    <row r="59" customFormat="false" ht="23.85" hidden="false" customHeight="false" outlineLevel="0" collapsed="false">
      <c r="A59" s="6" t="s">
        <v>350</v>
      </c>
      <c r="B59" s="18" t="s">
        <v>320</v>
      </c>
      <c r="C59" s="6" t="s">
        <v>351</v>
      </c>
      <c r="E59" s="19" t="s">
        <v>352</v>
      </c>
      <c r="F59" s="20" t="s">
        <v>79</v>
      </c>
      <c r="G59" s="20" t="s">
        <v>74</v>
      </c>
      <c r="H59" s="20" t="s">
        <v>97</v>
      </c>
      <c r="I59" s="20" t="s">
        <v>97</v>
      </c>
      <c r="J59" s="20" t="s">
        <v>97</v>
      </c>
      <c r="K59" s="28" t="n">
        <v>2</v>
      </c>
      <c r="L59" s="18" t="s">
        <v>250</v>
      </c>
      <c r="M59" s="30"/>
      <c r="N59" s="25" t="str">
        <f aca="false">IF(AND(ISNUMBER(J59),ISNUMBER(K59),ISNUMBER(M59),K59&lt;&gt;J59),MAX(0,MIN(1,(M59-J59)/(K59-J59))),"")</f>
        <v/>
      </c>
      <c r="O59" s="26"/>
      <c r="P59" s="6"/>
      <c r="Q59" s="6"/>
    </row>
    <row r="60" customFormat="false" ht="15" hidden="false" customHeight="false" outlineLevel="0" collapsed="false">
      <c r="A60" s="6" t="s">
        <v>353</v>
      </c>
      <c r="B60" s="18" t="s">
        <v>320</v>
      </c>
      <c r="C60" s="6" t="s">
        <v>354</v>
      </c>
      <c r="E60" s="19" t="s">
        <v>355</v>
      </c>
      <c r="F60" s="20" t="s">
        <v>79</v>
      </c>
      <c r="G60" s="20" t="s">
        <v>74</v>
      </c>
      <c r="H60" s="20" t="s">
        <v>97</v>
      </c>
      <c r="I60" s="20" t="s">
        <v>97</v>
      </c>
      <c r="J60" s="20" t="s">
        <v>97</v>
      </c>
      <c r="K60" s="28" t="n">
        <v>5</v>
      </c>
      <c r="L60" s="18" t="s">
        <v>250</v>
      </c>
      <c r="M60" s="30"/>
      <c r="N60" s="25" t="str">
        <f aca="false">IF(AND(ISNUMBER(J60),ISNUMBER(K60),ISNUMBER(M60),K60&lt;&gt;J60),MAX(0,MIN(1,(M60-J60)/(K60-J60))),"")</f>
        <v/>
      </c>
      <c r="O60" s="26"/>
      <c r="P60" s="6"/>
      <c r="Q60" s="6"/>
    </row>
    <row r="61" customFormat="false" ht="15" hidden="false" customHeight="false" outlineLevel="0" collapsed="false">
      <c r="A61" s="6" t="s">
        <v>356</v>
      </c>
      <c r="B61" s="18" t="s">
        <v>320</v>
      </c>
      <c r="C61" s="6" t="s">
        <v>357</v>
      </c>
      <c r="E61" s="19" t="s">
        <v>358</v>
      </c>
      <c r="F61" s="20" t="s">
        <v>79</v>
      </c>
      <c r="G61" s="20" t="s">
        <v>74</v>
      </c>
      <c r="H61" s="20" t="s">
        <v>97</v>
      </c>
      <c r="I61" s="20" t="s">
        <v>97</v>
      </c>
      <c r="J61" s="20" t="s">
        <v>97</v>
      </c>
      <c r="K61" s="28" t="n">
        <v>5</v>
      </c>
      <c r="L61" s="18" t="s">
        <v>250</v>
      </c>
      <c r="M61" s="30"/>
      <c r="N61" s="25" t="str">
        <f aca="false">IF(AND(ISNUMBER(J61),ISNUMBER(K61),ISNUMBER(M61),K61&lt;&gt;J61),MAX(0,MIN(1,(M61-J61)/(K61-J61))),"")</f>
        <v/>
      </c>
      <c r="O61" s="26"/>
      <c r="P61" s="6"/>
      <c r="Q61" s="6"/>
    </row>
    <row r="62" customFormat="false" ht="30" hidden="false" customHeight="true" outlineLevel="0" collapsed="false">
      <c r="A62" s="33" t="s">
        <v>359</v>
      </c>
      <c r="B62" s="34"/>
      <c r="C62" s="34"/>
      <c r="D62" s="34"/>
      <c r="E62" s="34"/>
      <c r="F62" s="34"/>
      <c r="G62" s="34"/>
      <c r="H62" s="34"/>
      <c r="I62" s="34"/>
      <c r="J62" s="34"/>
      <c r="K62" s="34"/>
      <c r="L62" s="34"/>
      <c r="M62" s="34"/>
      <c r="N62" s="34"/>
      <c r="O62" s="34"/>
      <c r="P62" s="34"/>
      <c r="Q62" s="34"/>
    </row>
    <row r="63" customFormat="false" ht="30" hidden="false" customHeight="true" outlineLevel="0" collapsed="false">
      <c r="A63" s="12" t="s">
        <v>360</v>
      </c>
      <c r="B63" s="12" t="s">
        <v>361</v>
      </c>
      <c r="C63" s="13" t="s">
        <v>362</v>
      </c>
      <c r="D63" s="14" t="s">
        <v>363</v>
      </c>
      <c r="E63" s="15"/>
      <c r="F63" s="15"/>
      <c r="G63" s="15"/>
      <c r="H63" s="15"/>
      <c r="I63" s="15"/>
      <c r="J63" s="15"/>
      <c r="K63" s="15"/>
      <c r="L63" s="15"/>
      <c r="M63" s="16" t="s">
        <v>66</v>
      </c>
      <c r="N63" s="17" t="n">
        <f aca="false">IFERROR(AVERAGE(N64:N66),"")</f>
        <v>0</v>
      </c>
      <c r="O63" s="14" t="s">
        <v>364</v>
      </c>
      <c r="P63" s="14"/>
      <c r="Q63" s="14"/>
    </row>
    <row r="64" customFormat="false" ht="15" hidden="false" customHeight="false" outlineLevel="0" collapsed="false">
      <c r="A64" s="6" t="s">
        <v>365</v>
      </c>
      <c r="B64" s="18" t="s">
        <v>361</v>
      </c>
      <c r="C64" s="6" t="s">
        <v>366</v>
      </c>
      <c r="E64" s="19" t="s">
        <v>367</v>
      </c>
      <c r="F64" s="20" t="s">
        <v>93</v>
      </c>
      <c r="G64" s="20" t="s">
        <v>74</v>
      </c>
      <c r="H64" s="22" t="n">
        <v>30.45</v>
      </c>
      <c r="I64" s="22" t="n">
        <v>19.54</v>
      </c>
      <c r="J64" s="22" t="n">
        <v>19.54</v>
      </c>
      <c r="K64" s="28" t="n">
        <v>75</v>
      </c>
      <c r="L64" s="18" t="s">
        <v>119</v>
      </c>
      <c r="M64" s="27" t="n">
        <v>19.54</v>
      </c>
      <c r="N64" s="25" t="n">
        <f aca="false">IF(AND(ISNUMBER(J64),ISNUMBER(K64),ISNUMBER(M64),K64&lt;&gt;J64),MAX(0,MIN(1,(M64-J64)/(K64-J64))),"")</f>
        <v>0</v>
      </c>
      <c r="O64" s="26"/>
      <c r="P64" s="6"/>
      <c r="Q64" s="6"/>
    </row>
    <row r="65" customFormat="false" ht="22.35" hidden="false" customHeight="false" outlineLevel="0" collapsed="false">
      <c r="A65" s="6" t="s">
        <v>368</v>
      </c>
      <c r="B65" s="18" t="s">
        <v>361</v>
      </c>
      <c r="C65" s="6" t="s">
        <v>369</v>
      </c>
      <c r="E65" s="19" t="s">
        <v>370</v>
      </c>
      <c r="F65" s="20" t="s">
        <v>93</v>
      </c>
      <c r="G65" s="20" t="s">
        <v>74</v>
      </c>
      <c r="H65" s="22" t="n">
        <v>11.69</v>
      </c>
      <c r="I65" s="22" t="n">
        <v>60.1</v>
      </c>
      <c r="J65" s="22" t="n">
        <v>60.1</v>
      </c>
      <c r="K65" s="28" t="n">
        <v>82</v>
      </c>
      <c r="L65" s="18" t="s">
        <v>119</v>
      </c>
      <c r="M65" s="27" t="n">
        <v>60.1</v>
      </c>
      <c r="N65" s="25" t="n">
        <f aca="false">IF(AND(ISNUMBER(J65),ISNUMBER(K65),ISNUMBER(M65),K65&lt;&gt;J65),MAX(0,MIN(1,(M65-J65)/(K65-J65))),"")</f>
        <v>0</v>
      </c>
      <c r="O65" s="31" t="s">
        <v>139</v>
      </c>
      <c r="P65" s="6"/>
      <c r="Q65" s="6"/>
    </row>
    <row r="66" customFormat="false" ht="15" hidden="false" customHeight="false" outlineLevel="0" collapsed="false">
      <c r="A66" s="6" t="s">
        <v>371</v>
      </c>
      <c r="B66" s="18" t="s">
        <v>361</v>
      </c>
      <c r="C66" s="6" t="s">
        <v>372</v>
      </c>
      <c r="E66" s="19" t="s">
        <v>373</v>
      </c>
      <c r="F66" s="20" t="s">
        <v>93</v>
      </c>
      <c r="G66" s="20" t="s">
        <v>74</v>
      </c>
      <c r="H66" s="22" t="n">
        <v>84.5</v>
      </c>
      <c r="I66" s="22" t="n">
        <v>83.8</v>
      </c>
      <c r="J66" s="22" t="n">
        <v>83.8</v>
      </c>
      <c r="K66" s="28" t="n">
        <v>90</v>
      </c>
      <c r="L66" s="18" t="s">
        <v>94</v>
      </c>
      <c r="M66" s="27" t="n">
        <v>83.8</v>
      </c>
      <c r="N66" s="25" t="n">
        <f aca="false">IF(AND(ISNUMBER(J66),ISNUMBER(K66),ISNUMBER(M66),K66&lt;&gt;J66),MAX(0,MIN(1,(M66-J66)/(K66-J66))),"")</f>
        <v>0</v>
      </c>
      <c r="O66" s="26"/>
      <c r="P66" s="6"/>
      <c r="Q66" s="6"/>
    </row>
    <row r="67" customFormat="false" ht="30" hidden="false" customHeight="true" outlineLevel="0" collapsed="false">
      <c r="A67" s="12" t="s">
        <v>374</v>
      </c>
      <c r="B67" s="12" t="s">
        <v>361</v>
      </c>
      <c r="C67" s="13" t="s">
        <v>375</v>
      </c>
      <c r="D67" s="14" t="s">
        <v>276</v>
      </c>
      <c r="E67" s="15"/>
      <c r="F67" s="15"/>
      <c r="G67" s="15"/>
      <c r="H67" s="15"/>
      <c r="I67" s="15"/>
      <c r="J67" s="15"/>
      <c r="K67" s="15"/>
      <c r="L67" s="15"/>
      <c r="M67" s="16" t="s">
        <v>66</v>
      </c>
      <c r="N67" s="17" t="n">
        <f aca="false">IFERROR(AVERAGE(N68:N70),"")</f>
        <v>0.346276126080753</v>
      </c>
      <c r="O67" s="14" t="s">
        <v>376</v>
      </c>
      <c r="P67" s="14"/>
      <c r="Q67" s="14"/>
    </row>
    <row r="68" customFormat="false" ht="32.8" hidden="false" customHeight="false" outlineLevel="0" collapsed="false">
      <c r="A68" s="6" t="s">
        <v>377</v>
      </c>
      <c r="B68" s="18" t="s">
        <v>361</v>
      </c>
      <c r="C68" s="6" t="s">
        <v>71</v>
      </c>
      <c r="E68" s="19" t="s">
        <v>72</v>
      </c>
      <c r="F68" s="20" t="s">
        <v>73</v>
      </c>
      <c r="G68" s="20" t="s">
        <v>74</v>
      </c>
      <c r="H68" s="21" t="n">
        <v>117683.99</v>
      </c>
      <c r="I68" s="21" t="n">
        <v>59656.2</v>
      </c>
      <c r="J68" s="22" t="n">
        <v>0</v>
      </c>
      <c r="K68" s="23" t="n">
        <v>165012.78</v>
      </c>
      <c r="L68" s="18" t="s">
        <v>75</v>
      </c>
      <c r="M68" s="24" t="n">
        <v>59656.2</v>
      </c>
      <c r="N68" s="25" t="n">
        <f aca="false">IF(AND(ISNUMBER(J68),ISNUMBER(K68),ISNUMBER(M68),K68&lt;&gt;J68),MAX(0,MIN(1,(M68-J68)/(K68-J68))),"")</f>
        <v>0.36152472553944</v>
      </c>
      <c r="O68" s="26"/>
      <c r="P68" s="6"/>
      <c r="Q68" s="6"/>
    </row>
    <row r="69" customFormat="false" ht="32.8" hidden="false" customHeight="false" outlineLevel="0" collapsed="false">
      <c r="A69" s="6" t="s">
        <v>378</v>
      </c>
      <c r="B69" s="18" t="s">
        <v>361</v>
      </c>
      <c r="C69" s="6" t="s">
        <v>77</v>
      </c>
      <c r="E69" s="19" t="s">
        <v>78</v>
      </c>
      <c r="F69" s="20" t="s">
        <v>79</v>
      </c>
      <c r="G69" s="20" t="s">
        <v>74</v>
      </c>
      <c r="H69" s="21" t="n">
        <v>45401017</v>
      </c>
      <c r="I69" s="21" t="n">
        <v>16531885</v>
      </c>
      <c r="J69" s="22" t="n">
        <v>0</v>
      </c>
      <c r="K69" s="23" t="n">
        <v>49941118.7</v>
      </c>
      <c r="L69" s="18" t="s">
        <v>75</v>
      </c>
      <c r="M69" s="24" t="n">
        <v>16531885</v>
      </c>
      <c r="N69" s="25" t="n">
        <f aca="false">IF(AND(ISNUMBER(J69),ISNUMBER(K69),ISNUMBER(M69),K69&lt;&gt;J69),MAX(0,MIN(1,(M69-J69)/(K69-J69))),"")</f>
        <v>0.331027526622066</v>
      </c>
      <c r="O69" s="26"/>
      <c r="P69" s="6"/>
      <c r="Q69" s="6"/>
    </row>
    <row r="70" customFormat="false" ht="15" hidden="false" customHeight="false" outlineLevel="0" collapsed="false">
      <c r="A70" s="6" t="s">
        <v>379</v>
      </c>
      <c r="B70" s="18" t="s">
        <v>361</v>
      </c>
      <c r="C70" s="6" t="s">
        <v>380</v>
      </c>
      <c r="E70" s="19" t="s">
        <v>97</v>
      </c>
      <c r="F70" s="20" t="s">
        <v>93</v>
      </c>
      <c r="G70" s="20" t="s">
        <v>74</v>
      </c>
      <c r="H70" s="20" t="s">
        <v>97</v>
      </c>
      <c r="I70" s="20" t="s">
        <v>97</v>
      </c>
      <c r="J70" s="22" t="n">
        <v>0</v>
      </c>
      <c r="K70" s="29" t="n">
        <v>100</v>
      </c>
      <c r="L70" s="18" t="s">
        <v>98</v>
      </c>
      <c r="M70" s="30"/>
      <c r="N70" s="25" t="str">
        <f aca="false">IF(AND(ISNUMBER(J70),ISNUMBER(K70),ISNUMBER(M70),K70&lt;&gt;J70),MAX(0,MIN(1,(M70-J70)/(K70-J70))),"")</f>
        <v/>
      </c>
      <c r="O70" s="26"/>
      <c r="P70" s="6"/>
      <c r="Q70" s="6"/>
    </row>
    <row r="71" customFormat="false" ht="30" hidden="false" customHeight="true" outlineLevel="0" collapsed="false">
      <c r="A71" s="12" t="s">
        <v>381</v>
      </c>
      <c r="B71" s="12" t="s">
        <v>361</v>
      </c>
      <c r="C71" s="13" t="s">
        <v>382</v>
      </c>
      <c r="D71" s="14" t="s">
        <v>276</v>
      </c>
      <c r="E71" s="15"/>
      <c r="F71" s="15"/>
      <c r="G71" s="15"/>
      <c r="H71" s="15"/>
      <c r="I71" s="15"/>
      <c r="J71" s="15"/>
      <c r="K71" s="15"/>
      <c r="L71" s="15"/>
      <c r="M71" s="16" t="s">
        <v>66</v>
      </c>
      <c r="N71" s="17" t="n">
        <f aca="false">IFERROR(AVERAGE(N72:N74),"")</f>
        <v>0.273017803624727</v>
      </c>
      <c r="O71" s="14" t="s">
        <v>383</v>
      </c>
      <c r="P71" s="14"/>
      <c r="Q71" s="14"/>
    </row>
    <row r="72" customFormat="false" ht="32.8" hidden="false" customHeight="false" outlineLevel="0" collapsed="false">
      <c r="A72" s="6" t="s">
        <v>384</v>
      </c>
      <c r="B72" s="18" t="s">
        <v>361</v>
      </c>
      <c r="C72" s="6" t="s">
        <v>385</v>
      </c>
      <c r="E72" s="19" t="s">
        <v>386</v>
      </c>
      <c r="F72" s="20" t="s">
        <v>387</v>
      </c>
      <c r="G72" s="20" t="s">
        <v>74</v>
      </c>
      <c r="H72" s="20" t="s">
        <v>97</v>
      </c>
      <c r="I72" s="22" t="n">
        <v>124.94</v>
      </c>
      <c r="J72" s="22" t="n">
        <v>0</v>
      </c>
      <c r="K72" s="29" t="n">
        <v>450</v>
      </c>
      <c r="L72" s="18" t="s">
        <v>75</v>
      </c>
      <c r="M72" s="27" t="n">
        <v>124.94</v>
      </c>
      <c r="N72" s="25" t="n">
        <f aca="false">IF(AND(ISNUMBER(J72),ISNUMBER(K72),ISNUMBER(M72),K72&lt;&gt;J72),MAX(0,MIN(1,(M72-J72)/(K72-J72))),"")</f>
        <v>0.277644444444444</v>
      </c>
      <c r="O72" s="26"/>
      <c r="P72" s="6"/>
      <c r="Q72" s="6"/>
    </row>
    <row r="73" customFormat="false" ht="32.8" hidden="false" customHeight="false" outlineLevel="0" collapsed="false">
      <c r="A73" s="6" t="s">
        <v>388</v>
      </c>
      <c r="B73" s="18" t="s">
        <v>361</v>
      </c>
      <c r="C73" s="6" t="s">
        <v>389</v>
      </c>
      <c r="E73" s="19" t="s">
        <v>390</v>
      </c>
      <c r="F73" s="20" t="s">
        <v>73</v>
      </c>
      <c r="G73" s="20" t="s">
        <v>74</v>
      </c>
      <c r="H73" s="20" t="s">
        <v>97</v>
      </c>
      <c r="I73" s="22" t="n">
        <v>189.41</v>
      </c>
      <c r="J73" s="22" t="n">
        <v>0</v>
      </c>
      <c r="K73" s="29" t="n">
        <v>649.98</v>
      </c>
      <c r="L73" s="18" t="s">
        <v>75</v>
      </c>
      <c r="M73" s="27" t="n">
        <v>189.41</v>
      </c>
      <c r="N73" s="25" t="n">
        <f aca="false">IF(AND(ISNUMBER(J73),ISNUMBER(K73),ISNUMBER(M73),K73&lt;&gt;J73),MAX(0,MIN(1,(M73-J73)/(K73-J73))),"")</f>
        <v>0.291408966429736</v>
      </c>
      <c r="O73" s="26"/>
      <c r="P73" s="6"/>
      <c r="Q73" s="6"/>
    </row>
    <row r="74" customFormat="false" ht="43.25" hidden="false" customHeight="false" outlineLevel="0" collapsed="false">
      <c r="A74" s="6" t="s">
        <v>391</v>
      </c>
      <c r="B74" s="18" t="s">
        <v>361</v>
      </c>
      <c r="C74" s="6" t="s">
        <v>392</v>
      </c>
      <c r="E74" s="19" t="s">
        <v>393</v>
      </c>
      <c r="F74" s="20" t="s">
        <v>73</v>
      </c>
      <c r="G74" s="20" t="s">
        <v>74</v>
      </c>
      <c r="H74" s="21" t="n">
        <v>3582</v>
      </c>
      <c r="I74" s="21" t="n">
        <v>2081</v>
      </c>
      <c r="J74" s="22" t="n">
        <v>0</v>
      </c>
      <c r="K74" s="23" t="n">
        <v>8324</v>
      </c>
      <c r="L74" s="18" t="s">
        <v>394</v>
      </c>
      <c r="M74" s="24" t="n">
        <v>2081</v>
      </c>
      <c r="N74" s="25" t="n">
        <f aca="false">IF(AND(ISNUMBER(J74),ISNUMBER(K74),ISNUMBER(M74),K74&lt;&gt;J74),MAX(0,MIN(1,(M74-J74)/(K74-J74))),"")</f>
        <v>0.25</v>
      </c>
      <c r="O74" s="26"/>
      <c r="P74" s="6"/>
      <c r="Q74" s="6"/>
    </row>
    <row r="75" customFormat="false" ht="30" hidden="false" customHeight="true" outlineLevel="0" collapsed="false">
      <c r="A75" s="33" t="s">
        <v>395</v>
      </c>
      <c r="B75" s="34"/>
      <c r="C75" s="34"/>
      <c r="D75" s="34"/>
      <c r="E75" s="34"/>
      <c r="F75" s="34"/>
      <c r="G75" s="34"/>
      <c r="H75" s="34"/>
      <c r="I75" s="34"/>
      <c r="J75" s="34"/>
      <c r="K75" s="34"/>
      <c r="L75" s="34"/>
      <c r="M75" s="34"/>
      <c r="N75" s="34"/>
      <c r="O75" s="34"/>
      <c r="P75" s="34"/>
      <c r="Q75" s="34"/>
    </row>
    <row r="76" customFormat="false" ht="30" hidden="false" customHeight="true" outlineLevel="0" collapsed="false">
      <c r="A76" s="12" t="s">
        <v>396</v>
      </c>
      <c r="B76" s="12" t="s">
        <v>397</v>
      </c>
      <c r="C76" s="13" t="s">
        <v>398</v>
      </c>
      <c r="D76" s="14" t="s">
        <v>363</v>
      </c>
      <c r="E76" s="15"/>
      <c r="F76" s="15"/>
      <c r="G76" s="15"/>
      <c r="H76" s="15"/>
      <c r="I76" s="15"/>
      <c r="J76" s="15"/>
      <c r="K76" s="15"/>
      <c r="L76" s="15"/>
      <c r="M76" s="16" t="s">
        <v>66</v>
      </c>
      <c r="N76" s="17" t="n">
        <f aca="false">IFERROR(AVERAGE(N77:N79),"")</f>
        <v>0</v>
      </c>
      <c r="O76" s="14" t="s">
        <v>399</v>
      </c>
      <c r="P76" s="14"/>
      <c r="Q76" s="14"/>
    </row>
    <row r="77" customFormat="false" ht="22.35" hidden="false" customHeight="false" outlineLevel="0" collapsed="false">
      <c r="A77" s="6" t="s">
        <v>400</v>
      </c>
      <c r="B77" s="18" t="s">
        <v>397</v>
      </c>
      <c r="C77" s="6" t="s">
        <v>162</v>
      </c>
      <c r="E77" s="19" t="s">
        <v>163</v>
      </c>
      <c r="F77" s="20" t="s">
        <v>164</v>
      </c>
      <c r="G77" s="20" t="s">
        <v>74</v>
      </c>
      <c r="H77" s="22" t="n">
        <v>4.63</v>
      </c>
      <c r="I77" s="22" t="n">
        <v>1.46</v>
      </c>
      <c r="J77" s="22" t="n">
        <v>1.46</v>
      </c>
      <c r="K77" s="28" t="n">
        <v>1.79</v>
      </c>
      <c r="L77" s="18" t="s">
        <v>119</v>
      </c>
      <c r="M77" s="27" t="n">
        <v>1.46</v>
      </c>
      <c r="N77" s="25" t="n">
        <f aca="false">IF(AND(ISNUMBER(J77),ISNUMBER(K77),ISNUMBER(M77),K77&lt;&gt;J77),MAX(0,MIN(1,(M77-J77)/(K77-J77))),"")</f>
        <v>0</v>
      </c>
      <c r="O77" s="31" t="s">
        <v>139</v>
      </c>
      <c r="P77" s="6"/>
      <c r="Q77" s="6"/>
    </row>
    <row r="78" customFormat="false" ht="15" hidden="false" customHeight="false" outlineLevel="0" collapsed="false">
      <c r="A78" s="6" t="s">
        <v>401</v>
      </c>
      <c r="B78" s="18" t="s">
        <v>397</v>
      </c>
      <c r="C78" s="6" t="s">
        <v>166</v>
      </c>
      <c r="E78" s="19" t="s">
        <v>167</v>
      </c>
      <c r="F78" s="20" t="s">
        <v>93</v>
      </c>
      <c r="G78" s="20" t="s">
        <v>118</v>
      </c>
      <c r="H78" s="22" t="n">
        <v>17.6</v>
      </c>
      <c r="I78" s="22" t="n">
        <v>14.56</v>
      </c>
      <c r="J78" s="22" t="n">
        <v>14.56</v>
      </c>
      <c r="K78" s="29" t="n">
        <v>9.78</v>
      </c>
      <c r="L78" s="18" t="s">
        <v>168</v>
      </c>
      <c r="M78" s="27" t="n">
        <v>14.56</v>
      </c>
      <c r="N78" s="25" t="n">
        <f aca="false">IF(AND(ISNUMBER(J78),ISNUMBER(K78),ISNUMBER(M78),K78&lt;&gt;J78),MAX(0,MIN(1,(M78-J78)/(K78-J78))),"")</f>
        <v>-0</v>
      </c>
      <c r="O78" s="26"/>
      <c r="P78" s="6"/>
      <c r="Q78" s="6"/>
    </row>
    <row r="79" customFormat="false" ht="15" hidden="false" customHeight="false" outlineLevel="0" collapsed="false">
      <c r="A79" s="6" t="s">
        <v>402</v>
      </c>
      <c r="B79" s="18" t="s">
        <v>397</v>
      </c>
      <c r="C79" s="6" t="s">
        <v>403</v>
      </c>
      <c r="E79" s="19" t="s">
        <v>404</v>
      </c>
      <c r="F79" s="20" t="s">
        <v>93</v>
      </c>
      <c r="G79" s="20" t="s">
        <v>74</v>
      </c>
      <c r="H79" s="22" t="n">
        <v>100</v>
      </c>
      <c r="I79" s="22" t="n">
        <v>100</v>
      </c>
      <c r="J79" s="22" t="n">
        <v>100</v>
      </c>
      <c r="K79" s="28" t="n">
        <v>100</v>
      </c>
      <c r="L79" s="18" t="s">
        <v>405</v>
      </c>
      <c r="M79" s="27" t="n">
        <v>100</v>
      </c>
      <c r="N79" s="25" t="str">
        <f aca="false">IF(AND(ISNUMBER(J79),ISNUMBER(K79),ISNUMBER(M79),K79&lt;&gt;J79),MAX(0,MIN(1,(M79-J79)/(K79-J79))),"")</f>
        <v/>
      </c>
      <c r="O79" s="26"/>
      <c r="P79" s="6"/>
      <c r="Q79" s="6"/>
    </row>
    <row r="80" customFormat="false" ht="30" hidden="false" customHeight="true" outlineLevel="0" collapsed="false">
      <c r="A80" s="12" t="s">
        <v>406</v>
      </c>
      <c r="B80" s="12" t="s">
        <v>397</v>
      </c>
      <c r="C80" s="13" t="s">
        <v>407</v>
      </c>
      <c r="D80" s="14" t="s">
        <v>363</v>
      </c>
      <c r="E80" s="15"/>
      <c r="F80" s="15"/>
      <c r="G80" s="15"/>
      <c r="H80" s="15"/>
      <c r="I80" s="15"/>
      <c r="J80" s="15"/>
      <c r="K80" s="15"/>
      <c r="L80" s="15"/>
      <c r="M80" s="16" t="s">
        <v>66</v>
      </c>
      <c r="N80" s="17" t="n">
        <f aca="false">IFERROR(AVERAGE(N81:N84),"")</f>
        <v>0</v>
      </c>
      <c r="O80" s="14" t="s">
        <v>408</v>
      </c>
      <c r="P80" s="14"/>
      <c r="Q80" s="14"/>
    </row>
    <row r="81" customFormat="false" ht="23.85" hidden="false" customHeight="false" outlineLevel="0" collapsed="false">
      <c r="A81" s="6" t="s">
        <v>409</v>
      </c>
      <c r="B81" s="18" t="s">
        <v>397</v>
      </c>
      <c r="C81" s="6" t="s">
        <v>410</v>
      </c>
      <c r="E81" s="19" t="s">
        <v>411</v>
      </c>
      <c r="F81" s="20" t="s">
        <v>117</v>
      </c>
      <c r="G81" s="20" t="s">
        <v>118</v>
      </c>
      <c r="H81" s="22" t="n">
        <v>5.35</v>
      </c>
      <c r="I81" s="22" t="n">
        <v>7.59</v>
      </c>
      <c r="J81" s="22" t="n">
        <v>7.59</v>
      </c>
      <c r="K81" s="28" t="n">
        <v>4.2</v>
      </c>
      <c r="L81" s="18" t="s">
        <v>119</v>
      </c>
      <c r="M81" s="27" t="n">
        <v>7.59</v>
      </c>
      <c r="N81" s="25" t="n">
        <f aca="false">IF(AND(ISNUMBER(J81),ISNUMBER(K81),ISNUMBER(M81),K81&lt;&gt;J81),MAX(0,MIN(1,(M81-J81)/(K81-J81))),"")</f>
        <v>-0</v>
      </c>
      <c r="O81" s="26"/>
      <c r="P81" s="6"/>
      <c r="Q81" s="6"/>
    </row>
    <row r="82" customFormat="false" ht="23.85" hidden="false" customHeight="false" outlineLevel="0" collapsed="false">
      <c r="A82" s="6" t="s">
        <v>412</v>
      </c>
      <c r="B82" s="18" t="s">
        <v>397</v>
      </c>
      <c r="C82" s="6" t="s">
        <v>413</v>
      </c>
      <c r="E82" s="19" t="s">
        <v>414</v>
      </c>
      <c r="F82" s="20" t="s">
        <v>117</v>
      </c>
      <c r="G82" s="20" t="s">
        <v>118</v>
      </c>
      <c r="H82" s="22" t="n">
        <v>2.86</v>
      </c>
      <c r="I82" s="22" t="n">
        <v>3.46</v>
      </c>
      <c r="J82" s="22" t="n">
        <v>3.46</v>
      </c>
      <c r="K82" s="28" t="n">
        <v>2.2</v>
      </c>
      <c r="L82" s="18" t="s">
        <v>119</v>
      </c>
      <c r="M82" s="27" t="n">
        <v>3.46</v>
      </c>
      <c r="N82" s="25" t="n">
        <f aca="false">IF(AND(ISNUMBER(J82),ISNUMBER(K82),ISNUMBER(M82),K82&lt;&gt;J82),MAX(0,MIN(1,(M82-J82)/(K82-J82))),"")</f>
        <v>-0</v>
      </c>
      <c r="O82" s="26"/>
      <c r="P82" s="6"/>
      <c r="Q82" s="6"/>
    </row>
    <row r="83" customFormat="false" ht="15" hidden="false" customHeight="false" outlineLevel="0" collapsed="false">
      <c r="A83" s="6" t="s">
        <v>415</v>
      </c>
      <c r="B83" s="18" t="s">
        <v>397</v>
      </c>
      <c r="C83" s="6" t="s">
        <v>416</v>
      </c>
      <c r="E83" s="19" t="s">
        <v>417</v>
      </c>
      <c r="F83" s="20" t="s">
        <v>117</v>
      </c>
      <c r="G83" s="20" t="s">
        <v>118</v>
      </c>
      <c r="H83" s="22" t="n">
        <v>7.83</v>
      </c>
      <c r="I83" s="22" t="n">
        <v>5</v>
      </c>
      <c r="J83" s="22" t="n">
        <v>5</v>
      </c>
      <c r="K83" s="29" t="n">
        <v>4.75</v>
      </c>
      <c r="L83" s="18" t="s">
        <v>138</v>
      </c>
      <c r="M83" s="27" t="n">
        <v>5</v>
      </c>
      <c r="N83" s="25" t="n">
        <f aca="false">IF(AND(ISNUMBER(J83),ISNUMBER(K83),ISNUMBER(M83),K83&lt;&gt;J83),MAX(0,MIN(1,(M83-J83)/(K83-J83))),"")</f>
        <v>-0</v>
      </c>
      <c r="O83" s="26"/>
      <c r="P83" s="6"/>
      <c r="Q83" s="6"/>
    </row>
    <row r="84" customFormat="false" ht="15" hidden="false" customHeight="false" outlineLevel="0" collapsed="false">
      <c r="A84" s="6" t="s">
        <v>418</v>
      </c>
      <c r="B84" s="18" t="s">
        <v>397</v>
      </c>
      <c r="C84" s="6" t="s">
        <v>419</v>
      </c>
      <c r="E84" s="19" t="s">
        <v>420</v>
      </c>
      <c r="F84" s="20" t="s">
        <v>93</v>
      </c>
      <c r="G84" s="20" t="s">
        <v>118</v>
      </c>
      <c r="H84" s="22" t="n">
        <v>0.82</v>
      </c>
      <c r="I84" s="20" t="s">
        <v>97</v>
      </c>
      <c r="J84" s="22" t="n">
        <v>0.82</v>
      </c>
      <c r="K84" s="29" t="n">
        <v>0.779</v>
      </c>
      <c r="L84" s="18" t="s">
        <v>138</v>
      </c>
      <c r="M84" s="30"/>
      <c r="N84" s="25" t="str">
        <f aca="false">IF(AND(ISNUMBER(J84),ISNUMBER(K84),ISNUMBER(M84),K84&lt;&gt;J84),MAX(0,MIN(1,(M84-J84)/(K84-J84))),"")</f>
        <v/>
      </c>
      <c r="O84" s="26"/>
      <c r="P84" s="6"/>
      <c r="Q84" s="6"/>
    </row>
    <row r="85" customFormat="false" ht="30" hidden="false" customHeight="true" outlineLevel="0" collapsed="false">
      <c r="A85" s="12" t="s">
        <v>421</v>
      </c>
      <c r="B85" s="12" t="s">
        <v>397</v>
      </c>
      <c r="C85" s="13" t="s">
        <v>422</v>
      </c>
      <c r="D85" s="14" t="s">
        <v>227</v>
      </c>
      <c r="E85" s="15"/>
      <c r="F85" s="15"/>
      <c r="G85" s="15"/>
      <c r="H85" s="15"/>
      <c r="I85" s="15"/>
      <c r="J85" s="15"/>
      <c r="K85" s="15"/>
      <c r="L85" s="15"/>
      <c r="M85" s="16" t="s">
        <v>66</v>
      </c>
      <c r="N85" s="17" t="n">
        <f aca="false">IFERROR(AVERAGE(N86:N87),"")</f>
        <v>0.4125</v>
      </c>
      <c r="O85" s="14" t="s">
        <v>423</v>
      </c>
      <c r="P85" s="14"/>
      <c r="Q85" s="14"/>
    </row>
    <row r="86" customFormat="false" ht="32.8" hidden="false" customHeight="false" outlineLevel="0" collapsed="false">
      <c r="A86" s="6" t="s">
        <v>424</v>
      </c>
      <c r="B86" s="18" t="s">
        <v>397</v>
      </c>
      <c r="C86" s="6" t="s">
        <v>425</v>
      </c>
      <c r="E86" s="19" t="s">
        <v>426</v>
      </c>
      <c r="F86" s="20" t="s">
        <v>73</v>
      </c>
      <c r="G86" s="20" t="s">
        <v>74</v>
      </c>
      <c r="H86" s="20" t="s">
        <v>97</v>
      </c>
      <c r="I86" s="21" t="n">
        <v>1187</v>
      </c>
      <c r="J86" s="22" t="n">
        <v>0</v>
      </c>
      <c r="K86" s="23" t="n">
        <v>2374</v>
      </c>
      <c r="L86" s="18" t="s">
        <v>75</v>
      </c>
      <c r="M86" s="24" t="n">
        <v>1187</v>
      </c>
      <c r="N86" s="25" t="n">
        <f aca="false">IF(AND(ISNUMBER(J86),ISNUMBER(K86),ISNUMBER(M86),K86&lt;&gt;J86),MAX(0,MIN(1,(M86-J86)/(K86-J86))),"")</f>
        <v>0.5</v>
      </c>
      <c r="O86" s="26"/>
      <c r="P86" s="6"/>
      <c r="Q86" s="6"/>
    </row>
    <row r="87" customFormat="false" ht="32.8" hidden="false" customHeight="false" outlineLevel="0" collapsed="false">
      <c r="A87" s="6" t="s">
        <v>427</v>
      </c>
      <c r="B87" s="18" t="s">
        <v>397</v>
      </c>
      <c r="C87" s="6" t="s">
        <v>428</v>
      </c>
      <c r="E87" s="19" t="s">
        <v>429</v>
      </c>
      <c r="F87" s="20" t="s">
        <v>73</v>
      </c>
      <c r="G87" s="20" t="s">
        <v>74</v>
      </c>
      <c r="H87" s="20" t="s">
        <v>97</v>
      </c>
      <c r="I87" s="22" t="n">
        <v>1.3</v>
      </c>
      <c r="J87" s="22" t="n">
        <v>0</v>
      </c>
      <c r="K87" s="29" t="n">
        <v>4</v>
      </c>
      <c r="L87" s="18" t="s">
        <v>75</v>
      </c>
      <c r="M87" s="27" t="n">
        <v>1.3</v>
      </c>
      <c r="N87" s="25" t="n">
        <f aca="false">IF(AND(ISNUMBER(J87),ISNUMBER(K87),ISNUMBER(M87),K87&lt;&gt;J87),MAX(0,MIN(1,(M87-J87)/(K87-J87))),"")</f>
        <v>0.325</v>
      </c>
      <c r="O87" s="26"/>
      <c r="P87" s="6"/>
      <c r="Q87" s="6"/>
    </row>
    <row r="88" customFormat="false" ht="30" hidden="false" customHeight="true" outlineLevel="0" collapsed="false">
      <c r="A88" s="33" t="s">
        <v>430</v>
      </c>
      <c r="B88" s="34"/>
      <c r="C88" s="34"/>
      <c r="D88" s="34"/>
      <c r="E88" s="34"/>
      <c r="F88" s="34"/>
      <c r="G88" s="34"/>
      <c r="H88" s="34"/>
      <c r="I88" s="34"/>
      <c r="J88" s="34"/>
      <c r="K88" s="34"/>
      <c r="L88" s="34"/>
      <c r="M88" s="34"/>
      <c r="N88" s="34"/>
      <c r="O88" s="34"/>
      <c r="P88" s="34"/>
      <c r="Q88" s="34"/>
    </row>
    <row r="89" customFormat="false" ht="30" hidden="false" customHeight="true" outlineLevel="0" collapsed="false">
      <c r="A89" s="12" t="s">
        <v>431</v>
      </c>
      <c r="B89" s="12" t="s">
        <v>432</v>
      </c>
      <c r="C89" s="13" t="s">
        <v>433</v>
      </c>
      <c r="D89" s="14" t="s">
        <v>227</v>
      </c>
      <c r="E89" s="15"/>
      <c r="F89" s="15"/>
      <c r="G89" s="15"/>
      <c r="H89" s="15"/>
      <c r="I89" s="15"/>
      <c r="J89" s="15"/>
      <c r="K89" s="15"/>
      <c r="L89" s="15"/>
      <c r="M89" s="16" t="s">
        <v>66</v>
      </c>
      <c r="N89" s="17" t="n">
        <f aca="false">IFERROR(AVERAGE(N90:N92),"")</f>
        <v>0.457003482564946</v>
      </c>
      <c r="O89" s="14" t="s">
        <v>434</v>
      </c>
      <c r="P89" s="14"/>
      <c r="Q89" s="14"/>
    </row>
    <row r="90" customFormat="false" ht="32.8" hidden="false" customHeight="false" outlineLevel="0" collapsed="false">
      <c r="A90" s="6" t="s">
        <v>435</v>
      </c>
      <c r="B90" s="18" t="s">
        <v>432</v>
      </c>
      <c r="C90" s="6" t="s">
        <v>105</v>
      </c>
      <c r="E90" s="19" t="s">
        <v>436</v>
      </c>
      <c r="F90" s="20" t="s">
        <v>73</v>
      </c>
      <c r="G90" s="20" t="s">
        <v>74</v>
      </c>
      <c r="H90" s="21" t="n">
        <v>1526</v>
      </c>
      <c r="I90" s="21" t="n">
        <v>1156.52</v>
      </c>
      <c r="J90" s="22" t="n">
        <v>0</v>
      </c>
      <c r="K90" s="23" t="n">
        <v>2313.04</v>
      </c>
      <c r="L90" s="18" t="s">
        <v>75</v>
      </c>
      <c r="M90" s="24" t="n">
        <v>1156.52</v>
      </c>
      <c r="N90" s="25" t="n">
        <f aca="false">IF(AND(ISNUMBER(J90),ISNUMBER(K90),ISNUMBER(M90),K90&lt;&gt;J90),MAX(0,MIN(1,(M90-J90)/(K90-J90))),"")</f>
        <v>0.5</v>
      </c>
      <c r="O90" s="31" t="s">
        <v>107</v>
      </c>
      <c r="P90" s="6"/>
      <c r="Q90" s="6"/>
    </row>
    <row r="91" customFormat="false" ht="32.8" hidden="false" customHeight="false" outlineLevel="0" collapsed="false">
      <c r="A91" s="6" t="s">
        <v>437</v>
      </c>
      <c r="B91" s="18" t="s">
        <v>432</v>
      </c>
      <c r="C91" s="6" t="s">
        <v>109</v>
      </c>
      <c r="E91" s="19" t="s">
        <v>110</v>
      </c>
      <c r="F91" s="20" t="s">
        <v>73</v>
      </c>
      <c r="G91" s="20" t="s">
        <v>74</v>
      </c>
      <c r="H91" s="21" t="n">
        <v>127408</v>
      </c>
      <c r="I91" s="21" t="n">
        <v>83451.38</v>
      </c>
      <c r="J91" s="22" t="n">
        <v>0</v>
      </c>
      <c r="K91" s="23" t="n">
        <v>224930</v>
      </c>
      <c r="L91" s="18" t="s">
        <v>75</v>
      </c>
      <c r="M91" s="24" t="n">
        <v>83451.38</v>
      </c>
      <c r="N91" s="25" t="n">
        <f aca="false">IF(AND(ISNUMBER(J91),ISNUMBER(K91),ISNUMBER(M91),K91&lt;&gt;J91),MAX(0,MIN(1,(M91-J91)/(K91-J91))),"")</f>
        <v>0.371010447694838</v>
      </c>
      <c r="O91" s="26"/>
      <c r="P91" s="6"/>
      <c r="Q91" s="6"/>
    </row>
    <row r="92" customFormat="false" ht="32.8" hidden="false" customHeight="false" outlineLevel="0" collapsed="false">
      <c r="A92" s="6" t="s">
        <v>438</v>
      </c>
      <c r="B92" s="18" t="s">
        <v>432</v>
      </c>
      <c r="C92" s="6" t="s">
        <v>112</v>
      </c>
      <c r="E92" s="19" t="s">
        <v>113</v>
      </c>
      <c r="F92" s="20" t="s">
        <v>73</v>
      </c>
      <c r="G92" s="20" t="s">
        <v>74</v>
      </c>
      <c r="H92" s="20" t="s">
        <v>97</v>
      </c>
      <c r="I92" s="21" t="n">
        <v>1415.92</v>
      </c>
      <c r="J92" s="22" t="n">
        <v>0</v>
      </c>
      <c r="K92" s="23" t="n">
        <v>2831.84</v>
      </c>
      <c r="L92" s="18" t="s">
        <v>75</v>
      </c>
      <c r="M92" s="24" t="n">
        <v>1415.92</v>
      </c>
      <c r="N92" s="25" t="n">
        <f aca="false">IF(AND(ISNUMBER(J92),ISNUMBER(K92),ISNUMBER(M92),K92&lt;&gt;J92),MAX(0,MIN(1,(M92-J92)/(K92-J92))),"")</f>
        <v>0.5</v>
      </c>
      <c r="O92" s="31" t="s">
        <v>107</v>
      </c>
      <c r="P92" s="6"/>
      <c r="Q92" s="6"/>
    </row>
    <row r="93" customFormat="false" ht="30" hidden="false" customHeight="true" outlineLevel="0" collapsed="false">
      <c r="A93" s="12" t="s">
        <v>439</v>
      </c>
      <c r="B93" s="12" t="s">
        <v>432</v>
      </c>
      <c r="C93" s="13" t="s">
        <v>440</v>
      </c>
      <c r="D93" s="14" t="s">
        <v>227</v>
      </c>
      <c r="E93" s="15"/>
      <c r="F93" s="15"/>
      <c r="G93" s="15"/>
      <c r="H93" s="15"/>
      <c r="I93" s="15"/>
      <c r="J93" s="15"/>
      <c r="K93" s="15"/>
      <c r="L93" s="15"/>
      <c r="M93" s="16" t="s">
        <v>66</v>
      </c>
      <c r="N93" s="17" t="n">
        <f aca="false">IFERROR(AVERAGE(N94:N97),"")</f>
        <v>0.0467928201096824</v>
      </c>
      <c r="O93" s="14" t="s">
        <v>441</v>
      </c>
      <c r="P93" s="14"/>
      <c r="Q93" s="14"/>
    </row>
    <row r="94" customFormat="false" ht="15" hidden="false" customHeight="false" outlineLevel="0" collapsed="false">
      <c r="A94" s="6" t="s">
        <v>442</v>
      </c>
      <c r="B94" s="18" t="s">
        <v>432</v>
      </c>
      <c r="C94" s="6" t="s">
        <v>115</v>
      </c>
      <c r="E94" s="19" t="s">
        <v>116</v>
      </c>
      <c r="F94" s="20" t="s">
        <v>117</v>
      </c>
      <c r="G94" s="20" t="s">
        <v>118</v>
      </c>
      <c r="H94" s="20" t="s">
        <v>97</v>
      </c>
      <c r="I94" s="22" t="n">
        <v>80</v>
      </c>
      <c r="J94" s="22" t="n">
        <v>80</v>
      </c>
      <c r="K94" s="28" t="n">
        <v>65</v>
      </c>
      <c r="L94" s="18" t="s">
        <v>119</v>
      </c>
      <c r="M94" s="27" t="n">
        <v>80</v>
      </c>
      <c r="N94" s="25" t="n">
        <f aca="false">IF(AND(ISNUMBER(J94),ISNUMBER(K94),ISNUMBER(M94),K94&lt;&gt;J94),MAX(0,MIN(1,(M94-J94)/(K94-J94))),"")</f>
        <v>-0</v>
      </c>
      <c r="O94" s="26"/>
      <c r="P94" s="6"/>
      <c r="Q94" s="6"/>
    </row>
    <row r="95" customFormat="false" ht="22.35" hidden="false" customHeight="false" outlineLevel="0" collapsed="false">
      <c r="A95" s="6" t="s">
        <v>443</v>
      </c>
      <c r="B95" s="18" t="s">
        <v>432</v>
      </c>
      <c r="C95" s="6" t="s">
        <v>444</v>
      </c>
      <c r="E95" s="19" t="s">
        <v>445</v>
      </c>
      <c r="F95" s="20" t="s">
        <v>73</v>
      </c>
      <c r="G95" s="20" t="s">
        <v>118</v>
      </c>
      <c r="H95" s="22" t="n">
        <v>300</v>
      </c>
      <c r="I95" s="21" t="n">
        <v>7926.93</v>
      </c>
      <c r="J95" s="21" t="n">
        <v>7926.93</v>
      </c>
      <c r="K95" s="28" t="n">
        <v>725</v>
      </c>
      <c r="L95" s="18" t="s">
        <v>119</v>
      </c>
      <c r="M95" s="24" t="n">
        <v>7926.93</v>
      </c>
      <c r="N95" s="25" t="n">
        <f aca="false">IF(AND(ISNUMBER(J95),ISNUMBER(K95),ISNUMBER(M95),K95&lt;&gt;J95),MAX(0,MIN(1,(M95-J95)/(K95-J95))),"")</f>
        <v>-0</v>
      </c>
      <c r="O95" s="31" t="s">
        <v>139</v>
      </c>
      <c r="P95" s="6"/>
      <c r="Q95" s="6"/>
    </row>
    <row r="96" customFormat="false" ht="32.8" hidden="false" customHeight="false" outlineLevel="0" collapsed="false">
      <c r="A96" s="6" t="s">
        <v>446</v>
      </c>
      <c r="B96" s="18" t="s">
        <v>432</v>
      </c>
      <c r="C96" s="6" t="s">
        <v>121</v>
      </c>
      <c r="E96" s="19" t="s">
        <v>122</v>
      </c>
      <c r="F96" s="20" t="s">
        <v>73</v>
      </c>
      <c r="G96" s="20" t="s">
        <v>74</v>
      </c>
      <c r="H96" s="21" t="n">
        <v>4857</v>
      </c>
      <c r="I96" s="21" t="n">
        <v>1000</v>
      </c>
      <c r="J96" s="22" t="n">
        <v>0</v>
      </c>
      <c r="K96" s="23" t="n">
        <v>5342.7</v>
      </c>
      <c r="L96" s="18" t="s">
        <v>75</v>
      </c>
      <c r="M96" s="24" t="n">
        <v>1000</v>
      </c>
      <c r="N96" s="25" t="n">
        <f aca="false">IF(AND(ISNUMBER(J96),ISNUMBER(K96),ISNUMBER(M96),K96&lt;&gt;J96),MAX(0,MIN(1,(M96-J96)/(K96-J96))),"")</f>
        <v>0.187171280438729</v>
      </c>
      <c r="O96" s="26"/>
      <c r="P96" s="6"/>
      <c r="Q96" s="6"/>
    </row>
    <row r="97" customFormat="false" ht="15" hidden="false" customHeight="false" outlineLevel="0" collapsed="false">
      <c r="A97" s="6" t="s">
        <v>447</v>
      </c>
      <c r="B97" s="18" t="s">
        <v>432</v>
      </c>
      <c r="C97" s="6" t="s">
        <v>448</v>
      </c>
      <c r="E97" s="19" t="s">
        <v>449</v>
      </c>
      <c r="F97" s="20" t="s">
        <v>93</v>
      </c>
      <c r="G97" s="20" t="s">
        <v>74</v>
      </c>
      <c r="H97" s="22" t="n">
        <v>43.43</v>
      </c>
      <c r="I97" s="22" t="n">
        <v>33.87</v>
      </c>
      <c r="J97" s="22" t="n">
        <v>33.87</v>
      </c>
      <c r="K97" s="28" t="n">
        <v>80</v>
      </c>
      <c r="L97" s="18" t="s">
        <v>119</v>
      </c>
      <c r="M97" s="27" t="n">
        <v>33.87</v>
      </c>
      <c r="N97" s="25" t="n">
        <f aca="false">IF(AND(ISNUMBER(J97),ISNUMBER(K97),ISNUMBER(M97),K97&lt;&gt;J97),MAX(0,MIN(1,(M97-J97)/(K97-J97))),"")</f>
        <v>0</v>
      </c>
      <c r="O97" s="26"/>
      <c r="P97" s="6"/>
      <c r="Q97" s="6"/>
    </row>
    <row r="98" customFormat="false" ht="30" hidden="false" customHeight="true" outlineLevel="0" collapsed="false">
      <c r="A98" s="12" t="s">
        <v>450</v>
      </c>
      <c r="B98" s="12" t="s">
        <v>432</v>
      </c>
      <c r="C98" s="13" t="s">
        <v>451</v>
      </c>
      <c r="D98" s="14" t="s">
        <v>227</v>
      </c>
      <c r="E98" s="15"/>
      <c r="F98" s="15"/>
      <c r="G98" s="15"/>
      <c r="H98" s="15"/>
      <c r="I98" s="15"/>
      <c r="J98" s="15"/>
      <c r="K98" s="15"/>
      <c r="L98" s="15"/>
      <c r="M98" s="16" t="s">
        <v>66</v>
      </c>
      <c r="N98" s="17" t="str">
        <f aca="false">IFERROR(AVERAGE(N99:N100),"")</f>
        <v/>
      </c>
      <c r="O98" s="14" t="s">
        <v>452</v>
      </c>
      <c r="P98" s="14"/>
      <c r="Q98" s="14"/>
    </row>
    <row r="99" customFormat="false" ht="23.85" hidden="false" customHeight="false" outlineLevel="0" collapsed="false">
      <c r="A99" s="6" t="s">
        <v>453</v>
      </c>
      <c r="B99" s="18" t="s">
        <v>432</v>
      </c>
      <c r="C99" s="6" t="s">
        <v>454</v>
      </c>
      <c r="E99" s="19" t="s">
        <v>455</v>
      </c>
      <c r="F99" s="20" t="s">
        <v>93</v>
      </c>
      <c r="G99" s="20" t="s">
        <v>74</v>
      </c>
      <c r="H99" s="20" t="s">
        <v>97</v>
      </c>
      <c r="I99" s="22" t="n">
        <v>100</v>
      </c>
      <c r="J99" s="22" t="n">
        <v>100</v>
      </c>
      <c r="K99" s="28" t="n">
        <v>100</v>
      </c>
      <c r="L99" s="18" t="s">
        <v>405</v>
      </c>
      <c r="M99" s="27" t="n">
        <v>100</v>
      </c>
      <c r="N99" s="25" t="str">
        <f aca="false">IF(AND(ISNUMBER(J99),ISNUMBER(K99),ISNUMBER(M99),K99&lt;&gt;J99),MAX(0,MIN(1,(M99-J99)/(K99-J99))),"")</f>
        <v/>
      </c>
      <c r="O99" s="31" t="s">
        <v>456</v>
      </c>
      <c r="P99" s="6"/>
      <c r="Q99" s="6"/>
    </row>
    <row r="100" customFormat="false" ht="15" hidden="false" customHeight="false" outlineLevel="0" collapsed="false">
      <c r="A100" s="6" t="s">
        <v>457</v>
      </c>
      <c r="B100" s="18" t="s">
        <v>432</v>
      </c>
      <c r="C100" s="6" t="s">
        <v>458</v>
      </c>
      <c r="E100" s="19" t="s">
        <v>97</v>
      </c>
      <c r="F100" s="20" t="s">
        <v>93</v>
      </c>
      <c r="G100" s="20" t="s">
        <v>74</v>
      </c>
      <c r="H100" s="20" t="s">
        <v>97</v>
      </c>
      <c r="I100" s="20" t="s">
        <v>97</v>
      </c>
      <c r="J100" s="22" t="n">
        <v>0</v>
      </c>
      <c r="K100" s="29" t="n">
        <v>100</v>
      </c>
      <c r="L100" s="18" t="s">
        <v>98</v>
      </c>
      <c r="M100" s="30"/>
      <c r="N100" s="25" t="str">
        <f aca="false">IF(AND(ISNUMBER(J100),ISNUMBER(K100),ISNUMBER(M100),K100&lt;&gt;J100),MAX(0,MIN(1,(M100-J100)/(K100-J100))),"")</f>
        <v/>
      </c>
      <c r="O100" s="26"/>
      <c r="P100" s="6"/>
      <c r="Q100" s="6"/>
    </row>
    <row r="101" customFormat="false" ht="30" hidden="false" customHeight="true" outlineLevel="0" collapsed="false">
      <c r="A101" s="33" t="s">
        <v>459</v>
      </c>
      <c r="B101" s="34"/>
      <c r="C101" s="34"/>
      <c r="D101" s="34"/>
      <c r="E101" s="34"/>
      <c r="F101" s="34"/>
      <c r="G101" s="34"/>
      <c r="H101" s="34"/>
      <c r="I101" s="34"/>
      <c r="J101" s="34"/>
      <c r="K101" s="34"/>
      <c r="L101" s="34"/>
      <c r="M101" s="34"/>
      <c r="N101" s="34"/>
      <c r="O101" s="34"/>
      <c r="P101" s="34"/>
      <c r="Q101" s="34"/>
    </row>
    <row r="102" customFormat="false" ht="30" hidden="false" customHeight="true" outlineLevel="0" collapsed="false">
      <c r="A102" s="12" t="s">
        <v>460</v>
      </c>
      <c r="B102" s="12" t="s">
        <v>461</v>
      </c>
      <c r="C102" s="13" t="s">
        <v>462</v>
      </c>
      <c r="D102" s="14" t="s">
        <v>265</v>
      </c>
      <c r="E102" s="15"/>
      <c r="F102" s="15"/>
      <c r="G102" s="15"/>
      <c r="H102" s="15"/>
      <c r="I102" s="15"/>
      <c r="J102" s="15"/>
      <c r="K102" s="15"/>
      <c r="L102" s="15"/>
      <c r="M102" s="16" t="s">
        <v>66</v>
      </c>
      <c r="N102" s="17" t="n">
        <f aca="false">IFERROR(AVERAGE(N103:N105),"")</f>
        <v>0</v>
      </c>
      <c r="O102" s="14" t="s">
        <v>463</v>
      </c>
      <c r="P102" s="14"/>
      <c r="Q102" s="14"/>
    </row>
    <row r="103" customFormat="false" ht="15" hidden="false" customHeight="false" outlineLevel="0" collapsed="false">
      <c r="A103" s="6" t="s">
        <v>464</v>
      </c>
      <c r="B103" s="18" t="s">
        <v>461</v>
      </c>
      <c r="C103" s="6" t="s">
        <v>465</v>
      </c>
      <c r="E103" s="19" t="s">
        <v>466</v>
      </c>
      <c r="F103" s="20" t="s">
        <v>93</v>
      </c>
      <c r="G103" s="20" t="s">
        <v>74</v>
      </c>
      <c r="H103" s="22" t="n">
        <v>100</v>
      </c>
      <c r="I103" s="22" t="n">
        <v>100</v>
      </c>
      <c r="J103" s="22" t="n">
        <v>100</v>
      </c>
      <c r="K103" s="28" t="n">
        <v>100</v>
      </c>
      <c r="L103" s="18" t="s">
        <v>405</v>
      </c>
      <c r="M103" s="27" t="n">
        <v>100</v>
      </c>
      <c r="N103" s="25" t="str">
        <f aca="false">IF(AND(ISNUMBER(J103),ISNUMBER(K103),ISNUMBER(M103),K103&lt;&gt;J103),MAX(0,MIN(1,(M103-J103)/(K103-J103))),"")</f>
        <v/>
      </c>
      <c r="O103" s="26"/>
      <c r="P103" s="6"/>
      <c r="Q103" s="6"/>
    </row>
    <row r="104" customFormat="false" ht="15" hidden="false" customHeight="false" outlineLevel="0" collapsed="false">
      <c r="A104" s="6" t="s">
        <v>467</v>
      </c>
      <c r="B104" s="18" t="s">
        <v>461</v>
      </c>
      <c r="C104" s="6" t="s">
        <v>468</v>
      </c>
      <c r="E104" s="19" t="s">
        <v>469</v>
      </c>
      <c r="F104" s="20" t="s">
        <v>117</v>
      </c>
      <c r="G104" s="20" t="s">
        <v>118</v>
      </c>
      <c r="H104" s="22" t="n">
        <v>35.4</v>
      </c>
      <c r="I104" s="22" t="n">
        <v>34.9</v>
      </c>
      <c r="J104" s="22" t="n">
        <v>34.9</v>
      </c>
      <c r="K104" s="29" t="n">
        <v>33.155</v>
      </c>
      <c r="L104" s="18" t="s">
        <v>138</v>
      </c>
      <c r="M104" s="27" t="n">
        <v>34.9</v>
      </c>
      <c r="N104" s="25" t="n">
        <f aca="false">IF(AND(ISNUMBER(J104),ISNUMBER(K104),ISNUMBER(M104),K104&lt;&gt;J104),MAX(0,MIN(1,(M104-J104)/(K104-J104))),"")</f>
        <v>-0</v>
      </c>
      <c r="O104" s="26"/>
      <c r="P104" s="6"/>
      <c r="Q104" s="6"/>
    </row>
    <row r="105" customFormat="false" ht="15" hidden="false" customHeight="false" outlineLevel="0" collapsed="false">
      <c r="A105" s="6" t="s">
        <v>470</v>
      </c>
      <c r="B105" s="18" t="s">
        <v>461</v>
      </c>
      <c r="C105" s="6" t="s">
        <v>471</v>
      </c>
      <c r="E105" s="19" t="s">
        <v>97</v>
      </c>
      <c r="F105" s="20" t="s">
        <v>93</v>
      </c>
      <c r="G105" s="20" t="s">
        <v>74</v>
      </c>
      <c r="H105" s="20" t="s">
        <v>97</v>
      </c>
      <c r="I105" s="20" t="s">
        <v>97</v>
      </c>
      <c r="J105" s="22" t="n">
        <v>0</v>
      </c>
      <c r="K105" s="29" t="n">
        <v>100</v>
      </c>
      <c r="L105" s="18" t="s">
        <v>98</v>
      </c>
      <c r="M105" s="30"/>
      <c r="N105" s="25" t="str">
        <f aca="false">IF(AND(ISNUMBER(J105),ISNUMBER(K105),ISNUMBER(M105),K105&lt;&gt;J105),MAX(0,MIN(1,(M105-J105)/(K105-J105))),"")</f>
        <v/>
      </c>
      <c r="O105" s="26"/>
      <c r="P105" s="6"/>
      <c r="Q105" s="6"/>
    </row>
    <row r="106" customFormat="false" ht="30" hidden="false" customHeight="true" outlineLevel="0" collapsed="false">
      <c r="A106" s="12" t="s">
        <v>472</v>
      </c>
      <c r="B106" s="12" t="s">
        <v>461</v>
      </c>
      <c r="C106" s="13" t="s">
        <v>473</v>
      </c>
      <c r="D106" s="14" t="s">
        <v>265</v>
      </c>
      <c r="E106" s="15"/>
      <c r="F106" s="15"/>
      <c r="G106" s="15"/>
      <c r="H106" s="15"/>
      <c r="I106" s="15"/>
      <c r="J106" s="15"/>
      <c r="K106" s="15"/>
      <c r="L106" s="15"/>
      <c r="M106" s="16" t="s">
        <v>66</v>
      </c>
      <c r="N106" s="17" t="n">
        <f aca="false">IFERROR(AVERAGE(N107:N110),"")</f>
        <v>0</v>
      </c>
      <c r="O106" s="14" t="s">
        <v>474</v>
      </c>
      <c r="P106" s="14"/>
      <c r="Q106" s="14"/>
    </row>
    <row r="107" customFormat="false" ht="15" hidden="false" customHeight="false" outlineLevel="0" collapsed="false">
      <c r="A107" s="6" t="s">
        <v>475</v>
      </c>
      <c r="B107" s="18" t="s">
        <v>461</v>
      </c>
      <c r="C107" s="6" t="s">
        <v>476</v>
      </c>
      <c r="E107" s="19" t="s">
        <v>477</v>
      </c>
      <c r="F107" s="20" t="s">
        <v>93</v>
      </c>
      <c r="G107" s="20" t="s">
        <v>74</v>
      </c>
      <c r="H107" s="22" t="n">
        <v>99</v>
      </c>
      <c r="I107" s="22" t="n">
        <v>97</v>
      </c>
      <c r="J107" s="22" t="n">
        <v>97</v>
      </c>
      <c r="K107" s="28" t="n">
        <v>99</v>
      </c>
      <c r="L107" s="18" t="s">
        <v>119</v>
      </c>
      <c r="M107" s="27" t="n">
        <v>97</v>
      </c>
      <c r="N107" s="25" t="n">
        <f aca="false">IF(AND(ISNUMBER(J107),ISNUMBER(K107),ISNUMBER(M107),K107&lt;&gt;J107),MAX(0,MIN(1,(M107-J107)/(K107-J107))),"")</f>
        <v>0</v>
      </c>
      <c r="O107" s="26"/>
      <c r="P107" s="6"/>
      <c r="Q107" s="6"/>
    </row>
    <row r="108" customFormat="false" ht="15" hidden="false" customHeight="false" outlineLevel="0" collapsed="false">
      <c r="A108" s="6" t="s">
        <v>478</v>
      </c>
      <c r="B108" s="18" t="s">
        <v>461</v>
      </c>
      <c r="C108" s="6" t="s">
        <v>479</v>
      </c>
      <c r="E108" s="19" t="s">
        <v>480</v>
      </c>
      <c r="F108" s="20" t="s">
        <v>79</v>
      </c>
      <c r="G108" s="20" t="s">
        <v>118</v>
      </c>
      <c r="H108" s="20" t="s">
        <v>97</v>
      </c>
      <c r="I108" s="22" t="n">
        <v>1</v>
      </c>
      <c r="J108" s="22" t="n">
        <v>1</v>
      </c>
      <c r="K108" s="29" t="n">
        <v>0</v>
      </c>
      <c r="L108" s="18" t="s">
        <v>481</v>
      </c>
      <c r="M108" s="27" t="n">
        <v>1</v>
      </c>
      <c r="N108" s="25" t="n">
        <f aca="false">IF(AND(ISNUMBER(J108),ISNUMBER(K108),ISNUMBER(M108),K108&lt;&gt;J108),MAX(0,MIN(1,(M108-J108)/(K108-J108))),"")</f>
        <v>-0</v>
      </c>
      <c r="O108" s="26"/>
      <c r="P108" s="6"/>
      <c r="Q108" s="6"/>
    </row>
    <row r="109" customFormat="false" ht="15" hidden="false" customHeight="false" outlineLevel="0" collapsed="false">
      <c r="A109" s="6" t="s">
        <v>482</v>
      </c>
      <c r="B109" s="18" t="s">
        <v>461</v>
      </c>
      <c r="C109" s="6" t="s">
        <v>483</v>
      </c>
      <c r="E109" s="19" t="s">
        <v>484</v>
      </c>
      <c r="F109" s="20" t="s">
        <v>93</v>
      </c>
      <c r="G109" s="20" t="s">
        <v>74</v>
      </c>
      <c r="H109" s="20" t="s">
        <v>97</v>
      </c>
      <c r="I109" s="22" t="n">
        <v>74.75</v>
      </c>
      <c r="J109" s="22" t="n">
        <v>74.75</v>
      </c>
      <c r="K109" s="28" t="n">
        <v>75</v>
      </c>
      <c r="L109" s="18" t="s">
        <v>119</v>
      </c>
      <c r="M109" s="27" t="n">
        <v>74.75</v>
      </c>
      <c r="N109" s="25" t="n">
        <f aca="false">IF(AND(ISNUMBER(J109),ISNUMBER(K109),ISNUMBER(M109),K109&lt;&gt;J109),MAX(0,MIN(1,(M109-J109)/(K109-J109))),"")</f>
        <v>0</v>
      </c>
      <c r="O109" s="26"/>
      <c r="P109" s="6"/>
      <c r="Q109" s="6"/>
    </row>
    <row r="110" customFormat="false" ht="15" hidden="false" customHeight="false" outlineLevel="0" collapsed="false">
      <c r="A110" s="6" t="s">
        <v>485</v>
      </c>
      <c r="B110" s="18" t="s">
        <v>461</v>
      </c>
      <c r="C110" s="6" t="s">
        <v>486</v>
      </c>
      <c r="E110" s="19" t="s">
        <v>487</v>
      </c>
      <c r="F110" s="20" t="s">
        <v>93</v>
      </c>
      <c r="G110" s="20" t="s">
        <v>74</v>
      </c>
      <c r="H110" s="20" t="s">
        <v>97</v>
      </c>
      <c r="I110" s="22" t="n">
        <v>71.96</v>
      </c>
      <c r="J110" s="22" t="n">
        <v>71.96</v>
      </c>
      <c r="K110" s="28" t="n">
        <v>75</v>
      </c>
      <c r="L110" s="18" t="s">
        <v>119</v>
      </c>
      <c r="M110" s="27" t="n">
        <v>71.96</v>
      </c>
      <c r="N110" s="25" t="n">
        <f aca="false">IF(AND(ISNUMBER(J110),ISNUMBER(K110),ISNUMBER(M110),K110&lt;&gt;J110),MAX(0,MIN(1,(M110-J110)/(K110-J110))),"")</f>
        <v>0</v>
      </c>
      <c r="O110" s="26"/>
      <c r="P110" s="6"/>
      <c r="Q110" s="6"/>
    </row>
    <row r="111" customFormat="false" ht="30" hidden="false" customHeight="true" outlineLevel="0" collapsed="false">
      <c r="A111" s="12" t="s">
        <v>488</v>
      </c>
      <c r="B111" s="12" t="s">
        <v>461</v>
      </c>
      <c r="C111" s="13" t="s">
        <v>489</v>
      </c>
      <c r="D111" s="14" t="s">
        <v>265</v>
      </c>
      <c r="E111" s="15"/>
      <c r="F111" s="15"/>
      <c r="G111" s="15"/>
      <c r="H111" s="15"/>
      <c r="I111" s="15"/>
      <c r="J111" s="15"/>
      <c r="K111" s="15"/>
      <c r="L111" s="15"/>
      <c r="M111" s="16" t="s">
        <v>66</v>
      </c>
      <c r="N111" s="17" t="n">
        <f aca="false">IFERROR(AVERAGE(N112:N114),"")</f>
        <v>0</v>
      </c>
      <c r="O111" s="14" t="s">
        <v>490</v>
      </c>
      <c r="P111" s="14"/>
      <c r="Q111" s="14"/>
    </row>
    <row r="112" customFormat="false" ht="23.85" hidden="false" customHeight="false" outlineLevel="0" collapsed="false">
      <c r="A112" s="6" t="s">
        <v>491</v>
      </c>
      <c r="B112" s="18" t="s">
        <v>461</v>
      </c>
      <c r="C112" s="6" t="s">
        <v>492</v>
      </c>
      <c r="E112" s="19" t="s">
        <v>493</v>
      </c>
      <c r="F112" s="20" t="s">
        <v>93</v>
      </c>
      <c r="G112" s="20" t="s">
        <v>74</v>
      </c>
      <c r="H112" s="22" t="n">
        <v>68.01</v>
      </c>
      <c r="I112" s="22" t="n">
        <v>72.98</v>
      </c>
      <c r="J112" s="22" t="n">
        <v>72.98</v>
      </c>
      <c r="K112" s="28" t="n">
        <v>75</v>
      </c>
      <c r="L112" s="18" t="s">
        <v>119</v>
      </c>
      <c r="M112" s="27" t="n">
        <v>72.98</v>
      </c>
      <c r="N112" s="25" t="n">
        <f aca="false">IF(AND(ISNUMBER(J112),ISNUMBER(K112),ISNUMBER(M112),K112&lt;&gt;J112),MAX(0,MIN(1,(M112-J112)/(K112-J112))),"")</f>
        <v>0</v>
      </c>
      <c r="O112" s="26"/>
      <c r="P112" s="6"/>
      <c r="Q112" s="6"/>
    </row>
    <row r="113" customFormat="false" ht="15" hidden="false" customHeight="false" outlineLevel="0" collapsed="false">
      <c r="A113" s="6" t="s">
        <v>494</v>
      </c>
      <c r="B113" s="18" t="s">
        <v>461</v>
      </c>
      <c r="C113" s="6" t="s">
        <v>495</v>
      </c>
      <c r="E113" s="19" t="s">
        <v>496</v>
      </c>
      <c r="F113" s="20" t="s">
        <v>93</v>
      </c>
      <c r="G113" s="20" t="s">
        <v>74</v>
      </c>
      <c r="H113" s="20" t="s">
        <v>97</v>
      </c>
      <c r="I113" s="22" t="n">
        <v>66.62</v>
      </c>
      <c r="J113" s="22" t="n">
        <v>66.62</v>
      </c>
      <c r="K113" s="29" t="n">
        <v>73.31</v>
      </c>
      <c r="L113" s="18" t="s">
        <v>168</v>
      </c>
      <c r="M113" s="27" t="n">
        <v>66.62</v>
      </c>
      <c r="N113" s="25" t="n">
        <f aca="false">IF(AND(ISNUMBER(J113),ISNUMBER(K113),ISNUMBER(M113),K113&lt;&gt;J113),MAX(0,MIN(1,(M113-J113)/(K113-J113))),"")</f>
        <v>0</v>
      </c>
      <c r="O113" s="26"/>
      <c r="P113" s="6"/>
      <c r="Q113" s="6"/>
    </row>
    <row r="114" customFormat="false" ht="15" hidden="false" customHeight="false" outlineLevel="0" collapsed="false">
      <c r="A114" s="6" t="s">
        <v>497</v>
      </c>
      <c r="B114" s="18" t="s">
        <v>461</v>
      </c>
      <c r="C114" s="6" t="s">
        <v>498</v>
      </c>
      <c r="E114" s="19" t="s">
        <v>97</v>
      </c>
      <c r="F114" s="20" t="s">
        <v>79</v>
      </c>
      <c r="G114" s="20" t="s">
        <v>74</v>
      </c>
      <c r="H114" s="20" t="s">
        <v>97</v>
      </c>
      <c r="I114" s="20" t="s">
        <v>97</v>
      </c>
      <c r="J114" s="22" t="n">
        <v>0</v>
      </c>
      <c r="K114" s="29" t="n">
        <v>3</v>
      </c>
      <c r="L114" s="18" t="s">
        <v>98</v>
      </c>
      <c r="M114" s="30"/>
      <c r="N114" s="25" t="str">
        <f aca="false">IF(AND(ISNUMBER(J114),ISNUMBER(K114),ISNUMBER(M114),K114&lt;&gt;J114),MAX(0,MIN(1,(M114-J114)/(K114-J114))),"")</f>
        <v/>
      </c>
      <c r="O114" s="26"/>
      <c r="P114" s="6"/>
      <c r="Q114" s="6"/>
    </row>
    <row r="115" customFormat="false" ht="30" hidden="false" customHeight="true" outlineLevel="0" collapsed="false">
      <c r="A115" s="33" t="s">
        <v>499</v>
      </c>
      <c r="B115" s="34"/>
      <c r="C115" s="34"/>
      <c r="D115" s="34"/>
      <c r="E115" s="34"/>
      <c r="F115" s="34"/>
      <c r="G115" s="34"/>
      <c r="H115" s="34"/>
      <c r="I115" s="34"/>
      <c r="J115" s="34"/>
      <c r="K115" s="34"/>
      <c r="L115" s="34"/>
      <c r="M115" s="34"/>
      <c r="N115" s="34"/>
      <c r="O115" s="34"/>
      <c r="P115" s="34"/>
      <c r="Q115" s="34"/>
    </row>
    <row r="116" customFormat="false" ht="30" hidden="false" customHeight="true" outlineLevel="0" collapsed="false">
      <c r="A116" s="12" t="s">
        <v>500</v>
      </c>
      <c r="B116" s="12" t="s">
        <v>501</v>
      </c>
      <c r="C116" s="13" t="s">
        <v>502</v>
      </c>
      <c r="D116" s="14" t="s">
        <v>265</v>
      </c>
      <c r="E116" s="15"/>
      <c r="F116" s="15"/>
      <c r="G116" s="15"/>
      <c r="H116" s="15"/>
      <c r="I116" s="15"/>
      <c r="J116" s="15"/>
      <c r="K116" s="15"/>
      <c r="L116" s="15"/>
      <c r="M116" s="16" t="s">
        <v>66</v>
      </c>
      <c r="N116" s="17" t="n">
        <f aca="false">IFERROR(AVERAGE(N117:N119),"")</f>
        <v>0</v>
      </c>
      <c r="O116" s="14" t="s">
        <v>503</v>
      </c>
      <c r="P116" s="14"/>
      <c r="Q116" s="14"/>
    </row>
    <row r="117" customFormat="false" ht="23.85" hidden="false" customHeight="false" outlineLevel="0" collapsed="false">
      <c r="A117" s="6" t="s">
        <v>504</v>
      </c>
      <c r="B117" s="18" t="s">
        <v>501</v>
      </c>
      <c r="C117" s="6" t="s">
        <v>177</v>
      </c>
      <c r="E117" s="19" t="s">
        <v>505</v>
      </c>
      <c r="F117" s="20" t="s">
        <v>179</v>
      </c>
      <c r="G117" s="20" t="s">
        <v>74</v>
      </c>
      <c r="H117" s="22" t="n">
        <v>68.6</v>
      </c>
      <c r="I117" s="20" t="s">
        <v>97</v>
      </c>
      <c r="J117" s="22" t="n">
        <v>68.6</v>
      </c>
      <c r="K117" s="28" t="n">
        <v>70</v>
      </c>
      <c r="L117" s="18" t="s">
        <v>94</v>
      </c>
      <c r="M117" s="30"/>
      <c r="N117" s="25" t="str">
        <f aca="false">IF(AND(ISNUMBER(J117),ISNUMBER(K117),ISNUMBER(M117),K117&lt;&gt;J117),MAX(0,MIN(1,(M117-J117)/(K117-J117))),"")</f>
        <v/>
      </c>
      <c r="O117" s="26"/>
      <c r="P117" s="6"/>
      <c r="Q117" s="6"/>
    </row>
    <row r="118" customFormat="false" ht="22.35" hidden="false" customHeight="false" outlineLevel="0" collapsed="false">
      <c r="A118" s="6" t="s">
        <v>506</v>
      </c>
      <c r="B118" s="18" t="s">
        <v>501</v>
      </c>
      <c r="C118" s="6" t="s">
        <v>181</v>
      </c>
      <c r="E118" s="19" t="s">
        <v>507</v>
      </c>
      <c r="F118" s="20" t="s">
        <v>183</v>
      </c>
      <c r="G118" s="20" t="s">
        <v>74</v>
      </c>
      <c r="H118" s="22" t="n">
        <v>41.63</v>
      </c>
      <c r="I118" s="22" t="n">
        <v>29.76</v>
      </c>
      <c r="J118" s="22" t="n">
        <v>29.76</v>
      </c>
      <c r="K118" s="28" t="n">
        <v>44.84</v>
      </c>
      <c r="L118" s="18" t="s">
        <v>119</v>
      </c>
      <c r="M118" s="27" t="n">
        <v>29.76</v>
      </c>
      <c r="N118" s="25" t="n">
        <f aca="false">IF(AND(ISNUMBER(J118),ISNUMBER(K118),ISNUMBER(M118),K118&lt;&gt;J118),MAX(0,MIN(1,(M118-J118)/(K118-J118))),"")</f>
        <v>0</v>
      </c>
      <c r="O118" s="26"/>
      <c r="P118" s="6"/>
      <c r="Q118" s="6"/>
    </row>
    <row r="119" customFormat="false" ht="22.35" hidden="false" customHeight="false" outlineLevel="0" collapsed="false">
      <c r="A119" s="6" t="s">
        <v>508</v>
      </c>
      <c r="B119" s="18" t="s">
        <v>501</v>
      </c>
      <c r="C119" s="6" t="s">
        <v>509</v>
      </c>
      <c r="E119" s="19" t="s">
        <v>510</v>
      </c>
      <c r="F119" s="20" t="s">
        <v>93</v>
      </c>
      <c r="G119" s="20" t="s">
        <v>74</v>
      </c>
      <c r="H119" s="22" t="n">
        <v>87</v>
      </c>
      <c r="I119" s="22" t="n">
        <v>87</v>
      </c>
      <c r="J119" s="22" t="n">
        <v>87</v>
      </c>
      <c r="K119" s="29" t="n">
        <v>91.35</v>
      </c>
      <c r="L119" s="18" t="s">
        <v>138</v>
      </c>
      <c r="M119" s="27" t="n">
        <v>87</v>
      </c>
      <c r="N119" s="25" t="n">
        <f aca="false">IF(AND(ISNUMBER(J119),ISNUMBER(K119),ISNUMBER(M119),K119&lt;&gt;J119),MAX(0,MIN(1,(M119-J119)/(K119-J119))),"")</f>
        <v>0</v>
      </c>
      <c r="O119" s="26"/>
      <c r="P119" s="6"/>
      <c r="Q119" s="6"/>
    </row>
    <row r="120" customFormat="false" ht="30" hidden="false" customHeight="true" outlineLevel="0" collapsed="false">
      <c r="A120" s="12" t="s">
        <v>511</v>
      </c>
      <c r="B120" s="12" t="s">
        <v>501</v>
      </c>
      <c r="C120" s="13" t="s">
        <v>512</v>
      </c>
      <c r="D120" s="14" t="s">
        <v>265</v>
      </c>
      <c r="E120" s="15"/>
      <c r="F120" s="15"/>
      <c r="G120" s="15"/>
      <c r="H120" s="15"/>
      <c r="I120" s="15"/>
      <c r="J120" s="15"/>
      <c r="K120" s="15"/>
      <c r="L120" s="15"/>
      <c r="M120" s="16" t="s">
        <v>66</v>
      </c>
      <c r="N120" s="17" t="n">
        <f aca="false">IFERROR(AVERAGE(N121:N124),"")</f>
        <v>0</v>
      </c>
      <c r="O120" s="14" t="s">
        <v>513</v>
      </c>
      <c r="P120" s="14"/>
      <c r="Q120" s="14"/>
    </row>
    <row r="121" customFormat="false" ht="22.35" hidden="false" customHeight="false" outlineLevel="0" collapsed="false">
      <c r="A121" s="6" t="s">
        <v>514</v>
      </c>
      <c r="B121" s="18" t="s">
        <v>501</v>
      </c>
      <c r="C121" s="6" t="s">
        <v>515</v>
      </c>
      <c r="E121" s="19" t="s">
        <v>516</v>
      </c>
      <c r="F121" s="20" t="s">
        <v>93</v>
      </c>
      <c r="G121" s="20" t="s">
        <v>74</v>
      </c>
      <c r="H121" s="20" t="s">
        <v>97</v>
      </c>
      <c r="I121" s="22" t="n">
        <v>74.93</v>
      </c>
      <c r="J121" s="22" t="n">
        <v>74.93</v>
      </c>
      <c r="K121" s="28" t="n">
        <v>78</v>
      </c>
      <c r="L121" s="18" t="s">
        <v>119</v>
      </c>
      <c r="M121" s="27" t="n">
        <v>74.93</v>
      </c>
      <c r="N121" s="25" t="n">
        <f aca="false">IF(AND(ISNUMBER(J121),ISNUMBER(K121),ISNUMBER(M121),K121&lt;&gt;J121),MAX(0,MIN(1,(M121-J121)/(K121-J121))),"")</f>
        <v>0</v>
      </c>
      <c r="O121" s="26"/>
      <c r="P121" s="6"/>
      <c r="Q121" s="6"/>
    </row>
    <row r="122" customFormat="false" ht="22.35" hidden="false" customHeight="false" outlineLevel="0" collapsed="false">
      <c r="A122" s="6" t="s">
        <v>517</v>
      </c>
      <c r="B122" s="18" t="s">
        <v>501</v>
      </c>
      <c r="C122" s="6" t="s">
        <v>518</v>
      </c>
      <c r="E122" s="19" t="s">
        <v>519</v>
      </c>
      <c r="F122" s="20" t="s">
        <v>93</v>
      </c>
      <c r="G122" s="20" t="s">
        <v>74</v>
      </c>
      <c r="H122" s="20" t="s">
        <v>97</v>
      </c>
      <c r="I122" s="22" t="n">
        <v>55.96</v>
      </c>
      <c r="J122" s="22" t="n">
        <v>55.96</v>
      </c>
      <c r="K122" s="28" t="n">
        <v>70</v>
      </c>
      <c r="L122" s="18" t="s">
        <v>119</v>
      </c>
      <c r="M122" s="27" t="n">
        <v>55.96</v>
      </c>
      <c r="N122" s="25" t="n">
        <f aca="false">IF(AND(ISNUMBER(J122),ISNUMBER(K122),ISNUMBER(M122),K122&lt;&gt;J122),MAX(0,MIN(1,(M122-J122)/(K122-J122))),"")</f>
        <v>0</v>
      </c>
      <c r="O122" s="26"/>
      <c r="P122" s="6"/>
      <c r="Q122" s="6"/>
    </row>
    <row r="123" customFormat="false" ht="22.35" hidden="false" customHeight="false" outlineLevel="0" collapsed="false">
      <c r="A123" s="6" t="s">
        <v>520</v>
      </c>
      <c r="B123" s="18" t="s">
        <v>501</v>
      </c>
      <c r="C123" s="6" t="s">
        <v>521</v>
      </c>
      <c r="E123" s="19" t="s">
        <v>522</v>
      </c>
      <c r="F123" s="20" t="s">
        <v>93</v>
      </c>
      <c r="G123" s="20" t="s">
        <v>74</v>
      </c>
      <c r="H123" s="20" t="s">
        <v>97</v>
      </c>
      <c r="I123" s="22" t="n">
        <v>66.94</v>
      </c>
      <c r="J123" s="22" t="n">
        <v>66.94</v>
      </c>
      <c r="K123" s="28" t="n">
        <v>71</v>
      </c>
      <c r="L123" s="18" t="s">
        <v>119</v>
      </c>
      <c r="M123" s="27" t="n">
        <v>66.94</v>
      </c>
      <c r="N123" s="25" t="n">
        <f aca="false">IF(AND(ISNUMBER(J123),ISNUMBER(K123),ISNUMBER(M123),K123&lt;&gt;J123),MAX(0,MIN(1,(M123-J123)/(K123-J123))),"")</f>
        <v>0</v>
      </c>
      <c r="O123" s="26"/>
      <c r="P123" s="6"/>
      <c r="Q123" s="6"/>
    </row>
    <row r="124" customFormat="false" ht="22.35" hidden="false" customHeight="false" outlineLevel="0" collapsed="false">
      <c r="A124" s="6" t="s">
        <v>523</v>
      </c>
      <c r="B124" s="18" t="s">
        <v>501</v>
      </c>
      <c r="C124" s="6" t="s">
        <v>524</v>
      </c>
      <c r="E124" s="19" t="s">
        <v>525</v>
      </c>
      <c r="F124" s="20" t="s">
        <v>117</v>
      </c>
      <c r="G124" s="20" t="s">
        <v>118</v>
      </c>
      <c r="H124" s="22" t="n">
        <v>4.67</v>
      </c>
      <c r="I124" s="22" t="n">
        <v>4.28</v>
      </c>
      <c r="J124" s="22" t="n">
        <v>4.28</v>
      </c>
      <c r="K124" s="29" t="n">
        <v>4.066</v>
      </c>
      <c r="L124" s="18" t="s">
        <v>138</v>
      </c>
      <c r="M124" s="27" t="n">
        <v>4.28</v>
      </c>
      <c r="N124" s="25" t="n">
        <f aca="false">IF(AND(ISNUMBER(J124),ISNUMBER(K124),ISNUMBER(M124),K124&lt;&gt;J124),MAX(0,MIN(1,(M124-J124)/(K124-J124))),"")</f>
        <v>-0</v>
      </c>
      <c r="O124" s="26"/>
      <c r="P124" s="6"/>
      <c r="Q124" s="6"/>
    </row>
    <row r="125" customFormat="false" ht="30" hidden="false" customHeight="true" outlineLevel="0" collapsed="false">
      <c r="A125" s="12" t="s">
        <v>526</v>
      </c>
      <c r="B125" s="12" t="s">
        <v>501</v>
      </c>
      <c r="C125" s="13" t="s">
        <v>527</v>
      </c>
      <c r="D125" s="14" t="s">
        <v>265</v>
      </c>
      <c r="E125" s="15"/>
      <c r="F125" s="15"/>
      <c r="G125" s="15"/>
      <c r="H125" s="15"/>
      <c r="I125" s="15"/>
      <c r="J125" s="15"/>
      <c r="K125" s="15"/>
      <c r="L125" s="15"/>
      <c r="M125" s="16" t="s">
        <v>66</v>
      </c>
      <c r="N125" s="17" t="n">
        <f aca="false">IFERROR(AVERAGE(N126:N128),"")</f>
        <v>0</v>
      </c>
      <c r="O125" s="14" t="s">
        <v>528</v>
      </c>
      <c r="P125" s="14"/>
      <c r="Q125" s="14"/>
    </row>
    <row r="126" customFormat="false" ht="22.35" hidden="false" customHeight="false" outlineLevel="0" collapsed="false">
      <c r="A126" s="6" t="s">
        <v>529</v>
      </c>
      <c r="B126" s="18" t="s">
        <v>501</v>
      </c>
      <c r="C126" s="6" t="s">
        <v>530</v>
      </c>
      <c r="E126" s="19" t="s">
        <v>531</v>
      </c>
      <c r="F126" s="20" t="s">
        <v>93</v>
      </c>
      <c r="G126" s="20" t="s">
        <v>74</v>
      </c>
      <c r="H126" s="22" t="n">
        <v>31.75</v>
      </c>
      <c r="I126" s="22" t="n">
        <v>35.93</v>
      </c>
      <c r="J126" s="22" t="n">
        <v>35.93</v>
      </c>
      <c r="K126" s="29" t="n">
        <v>37.7265</v>
      </c>
      <c r="L126" s="18" t="s">
        <v>138</v>
      </c>
      <c r="M126" s="27" t="n">
        <v>35.93</v>
      </c>
      <c r="N126" s="25" t="n">
        <f aca="false">IF(AND(ISNUMBER(J126),ISNUMBER(K126),ISNUMBER(M126),K126&lt;&gt;J126),MAX(0,MIN(1,(M126-J126)/(K126-J126))),"")</f>
        <v>0</v>
      </c>
      <c r="O126" s="26"/>
      <c r="P126" s="6"/>
      <c r="Q126" s="6"/>
    </row>
    <row r="127" customFormat="false" ht="22.35" hidden="false" customHeight="false" outlineLevel="0" collapsed="false">
      <c r="A127" s="6" t="s">
        <v>532</v>
      </c>
      <c r="B127" s="18" t="s">
        <v>501</v>
      </c>
      <c r="C127" s="6" t="s">
        <v>533</v>
      </c>
      <c r="E127" s="19" t="s">
        <v>534</v>
      </c>
      <c r="F127" s="20" t="s">
        <v>93</v>
      </c>
      <c r="G127" s="20" t="s">
        <v>74</v>
      </c>
      <c r="H127" s="20" t="s">
        <v>97</v>
      </c>
      <c r="I127" s="20" t="s">
        <v>97</v>
      </c>
      <c r="J127" s="20" t="s">
        <v>97</v>
      </c>
      <c r="K127" s="28" t="n">
        <v>54</v>
      </c>
      <c r="L127" s="18" t="s">
        <v>250</v>
      </c>
      <c r="M127" s="30"/>
      <c r="N127" s="25" t="str">
        <f aca="false">IF(AND(ISNUMBER(J127),ISNUMBER(K127),ISNUMBER(M127),K127&lt;&gt;J127),MAX(0,MIN(1,(M127-J127)/(K127-J127))),"")</f>
        <v/>
      </c>
      <c r="O127" s="26"/>
      <c r="P127" s="6"/>
      <c r="Q127" s="6"/>
    </row>
    <row r="128" customFormat="false" ht="22.35" hidden="false" customHeight="false" outlineLevel="0" collapsed="false">
      <c r="A128" s="6" t="s">
        <v>535</v>
      </c>
      <c r="B128" s="18" t="s">
        <v>501</v>
      </c>
      <c r="C128" s="6" t="s">
        <v>536</v>
      </c>
      <c r="E128" s="19" t="s">
        <v>97</v>
      </c>
      <c r="F128" s="20" t="s">
        <v>93</v>
      </c>
      <c r="G128" s="20" t="s">
        <v>118</v>
      </c>
      <c r="H128" s="20" t="s">
        <v>97</v>
      </c>
      <c r="I128" s="20" t="s">
        <v>97</v>
      </c>
      <c r="J128" s="22" t="n">
        <v>0</v>
      </c>
      <c r="K128" s="29" t="n">
        <v>0</v>
      </c>
      <c r="L128" s="18" t="s">
        <v>98</v>
      </c>
      <c r="M128" s="30"/>
      <c r="N128" s="25" t="str">
        <f aca="false">IF(AND(ISNUMBER(J128),ISNUMBER(K128),ISNUMBER(M128),K128&lt;&gt;J128),MAX(0,MIN(1,(M128-J128)/(K128-J128))),"")</f>
        <v/>
      </c>
      <c r="O128" s="26"/>
      <c r="P128" s="6"/>
      <c r="Q128" s="6"/>
    </row>
  </sheetData>
  <autoFilter ref="A4:Q4"/>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Q46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58"/>
    <col collapsed="false" customWidth="true" hidden="false" outlineLevel="0" max="4" min="4" style="0" width="30"/>
    <col collapsed="false" customWidth="true" hidden="false" outlineLevel="0" max="5" min="5" style="0" width="12"/>
    <col collapsed="false" customWidth="true" hidden="false" outlineLevel="0" max="6" min="6" style="0" width="13"/>
    <col collapsed="false" customWidth="true" hidden="false" outlineLevel="0" max="7" min="7" style="0" width="9"/>
    <col collapsed="false" customWidth="true" hidden="false" outlineLevel="0" max="10" min="8" style="0" width="13"/>
    <col collapsed="false" customWidth="true" hidden="false" outlineLevel="0" max="11" min="11" style="0" width="14"/>
    <col collapsed="false" customWidth="true" hidden="false" outlineLevel="0" max="12" min="12" style="0" width="34"/>
    <col collapsed="false" customWidth="true" hidden="false" outlineLevel="0" max="13" min="13" style="0" width="13"/>
    <col collapsed="false" customWidth="true" hidden="false" outlineLevel="0" max="14" min="14" style="0" width="9"/>
    <col collapsed="false" customWidth="true" hidden="false" outlineLevel="0" max="15" min="15" style="0" width="40"/>
    <col collapsed="false" customWidth="true" hidden="false" outlineLevel="0" max="16" min="16" style="0" width="50"/>
    <col collapsed="false" customWidth="true" hidden="false" outlineLevel="0" max="17" min="17" style="0" width="34"/>
  </cols>
  <sheetData>
    <row r="1" customFormat="false" ht="17.9" hidden="false" customHeight="false" outlineLevel="0" collapsed="false">
      <c r="A1" s="9" t="s">
        <v>537</v>
      </c>
      <c r="B1" s="9"/>
      <c r="C1" s="9"/>
      <c r="D1" s="9"/>
    </row>
    <row r="2" customFormat="false" ht="15" hidden="false" customHeight="false" outlineLevel="0" collapsed="false">
      <c r="A2" s="10" t="s">
        <v>538</v>
      </c>
      <c r="B2" s="10"/>
      <c r="C2" s="10"/>
      <c r="D2" s="10"/>
    </row>
    <row r="4" customFormat="false" ht="42" hidden="false" customHeight="true" outlineLevel="0" collapsed="false">
      <c r="A4" s="11" t="s">
        <v>47</v>
      </c>
      <c r="B4" s="11" t="s">
        <v>48</v>
      </c>
      <c r="C4" s="11" t="s">
        <v>49</v>
      </c>
      <c r="D4" s="11" t="s">
        <v>50</v>
      </c>
      <c r="E4" s="11" t="s">
        <v>51</v>
      </c>
      <c r="F4" s="11" t="s">
        <v>52</v>
      </c>
      <c r="G4" s="11" t="s">
        <v>26</v>
      </c>
      <c r="H4" s="11" t="s">
        <v>53</v>
      </c>
      <c r="I4" s="11" t="s">
        <v>54</v>
      </c>
      <c r="J4" s="11" t="s">
        <v>55</v>
      </c>
      <c r="K4" s="11" t="s">
        <v>56</v>
      </c>
      <c r="L4" s="11" t="s">
        <v>57</v>
      </c>
      <c r="M4" s="11" t="s">
        <v>58</v>
      </c>
      <c r="N4" s="11" t="s">
        <v>22</v>
      </c>
      <c r="O4" s="11" t="s">
        <v>59</v>
      </c>
      <c r="P4" s="11" t="s">
        <v>60</v>
      </c>
      <c r="Q4" s="11" t="s">
        <v>61</v>
      </c>
    </row>
    <row r="5" customFormat="false" ht="24" hidden="false" customHeight="true" outlineLevel="0" collapsed="false">
      <c r="A5" s="35" t="s">
        <v>539</v>
      </c>
      <c r="B5" s="34"/>
      <c r="C5" s="34"/>
      <c r="D5" s="34"/>
      <c r="E5" s="34"/>
      <c r="F5" s="34"/>
      <c r="G5" s="34"/>
      <c r="H5" s="34"/>
      <c r="I5" s="34"/>
      <c r="J5" s="34"/>
      <c r="K5" s="34"/>
      <c r="L5" s="34"/>
      <c r="M5" s="34"/>
      <c r="N5" s="34"/>
      <c r="O5" s="34"/>
      <c r="P5" s="34"/>
      <c r="Q5" s="34"/>
    </row>
    <row r="6" customFormat="false" ht="105.75" hidden="false" customHeight="true" outlineLevel="0" collapsed="false">
      <c r="A6" s="12" t="s">
        <v>540</v>
      </c>
      <c r="B6" s="12" t="s">
        <v>541</v>
      </c>
      <c r="C6" s="13" t="s">
        <v>542</v>
      </c>
      <c r="D6" s="14" t="s">
        <v>543</v>
      </c>
      <c r="E6" s="15"/>
      <c r="F6" s="15"/>
      <c r="G6" s="15"/>
      <c r="H6" s="15"/>
      <c r="I6" s="15"/>
      <c r="J6" s="15"/>
      <c r="K6" s="15"/>
      <c r="L6" s="15"/>
      <c r="M6" s="16" t="s">
        <v>66</v>
      </c>
      <c r="N6" s="17" t="n">
        <f aca="false">IFERROR(AVERAGE(N7:N8),"")</f>
        <v>0.5</v>
      </c>
      <c r="O6" s="14"/>
      <c r="P6" s="14" t="s">
        <v>544</v>
      </c>
      <c r="Q6" s="14" t="s">
        <v>545</v>
      </c>
    </row>
    <row r="7" customFormat="false" ht="32.8" hidden="false" customHeight="false" outlineLevel="0" collapsed="false">
      <c r="A7" s="6" t="s">
        <v>546</v>
      </c>
      <c r="B7" s="18" t="s">
        <v>541</v>
      </c>
      <c r="C7" s="6" t="s">
        <v>207</v>
      </c>
      <c r="E7" s="19" t="s">
        <v>208</v>
      </c>
      <c r="F7" s="20" t="s">
        <v>79</v>
      </c>
      <c r="G7" s="20" t="s">
        <v>74</v>
      </c>
      <c r="H7" s="22" t="n">
        <v>500</v>
      </c>
      <c r="I7" s="22" t="n">
        <v>392</v>
      </c>
      <c r="J7" s="22" t="n">
        <v>0</v>
      </c>
      <c r="K7" s="29" t="n">
        <v>784</v>
      </c>
      <c r="L7" s="18" t="s">
        <v>75</v>
      </c>
      <c r="M7" s="27" t="n">
        <v>392</v>
      </c>
      <c r="N7" s="25" t="n">
        <f aca="false">IF(AND(ISNUMBER(J7),ISNUMBER(K7),ISNUMBER(M7),K7&lt;&gt;J7),MAX(0,MIN(1,(M7-J7)/(K7-J7))),"")</f>
        <v>0.5</v>
      </c>
      <c r="O7" s="26"/>
      <c r="P7" s="6"/>
      <c r="Q7" s="6"/>
    </row>
    <row r="8" customFormat="false" ht="15" hidden="false" customHeight="false" outlineLevel="0" collapsed="false">
      <c r="A8" s="6" t="s">
        <v>547</v>
      </c>
      <c r="B8" s="18" t="s">
        <v>541</v>
      </c>
      <c r="C8" s="6" t="s">
        <v>548</v>
      </c>
      <c r="E8" s="19" t="s">
        <v>97</v>
      </c>
      <c r="F8" s="20" t="s">
        <v>93</v>
      </c>
      <c r="G8" s="20" t="s">
        <v>74</v>
      </c>
      <c r="H8" s="20" t="s">
        <v>97</v>
      </c>
      <c r="I8" s="20" t="s">
        <v>97</v>
      </c>
      <c r="J8" s="22" t="n">
        <v>0</v>
      </c>
      <c r="K8" s="29" t="n">
        <v>100</v>
      </c>
      <c r="L8" s="18" t="s">
        <v>98</v>
      </c>
      <c r="M8" s="30"/>
      <c r="N8" s="25" t="str">
        <f aca="false">IF(AND(ISNUMBER(J8),ISNUMBER(K8),ISNUMBER(M8),K8&lt;&gt;J8),MAX(0,MIN(1,(M8-J8)/(K8-J8))),"")</f>
        <v/>
      </c>
      <c r="O8" s="26"/>
      <c r="P8" s="6"/>
      <c r="Q8" s="6"/>
    </row>
    <row r="9" customFormat="false" ht="156" hidden="false" customHeight="true" outlineLevel="0" collapsed="false">
      <c r="A9" s="12" t="s">
        <v>549</v>
      </c>
      <c r="B9" s="12" t="s">
        <v>541</v>
      </c>
      <c r="C9" s="13" t="s">
        <v>550</v>
      </c>
      <c r="D9" s="14" t="s">
        <v>543</v>
      </c>
      <c r="E9" s="15"/>
      <c r="F9" s="15"/>
      <c r="G9" s="15"/>
      <c r="H9" s="15"/>
      <c r="I9" s="15"/>
      <c r="J9" s="15"/>
      <c r="K9" s="15"/>
      <c r="L9" s="15"/>
      <c r="M9" s="16" t="s">
        <v>66</v>
      </c>
      <c r="N9" s="17" t="n">
        <f aca="false">IFERROR(AVERAGE(N10:N11),"")</f>
        <v>0.5</v>
      </c>
      <c r="O9" s="14"/>
      <c r="P9" s="14" t="s">
        <v>551</v>
      </c>
      <c r="Q9" s="14" t="s">
        <v>552</v>
      </c>
    </row>
    <row r="10" customFormat="false" ht="32.8" hidden="false" customHeight="false" outlineLevel="0" collapsed="false">
      <c r="A10" s="6" t="s">
        <v>553</v>
      </c>
      <c r="B10" s="18" t="s">
        <v>541</v>
      </c>
      <c r="C10" s="6" t="s">
        <v>210</v>
      </c>
      <c r="E10" s="19" t="s">
        <v>211</v>
      </c>
      <c r="F10" s="20" t="s">
        <v>79</v>
      </c>
      <c r="G10" s="20" t="s">
        <v>74</v>
      </c>
      <c r="H10" s="22" t="n">
        <v>15</v>
      </c>
      <c r="I10" s="22" t="n">
        <v>40</v>
      </c>
      <c r="J10" s="22" t="n">
        <v>0</v>
      </c>
      <c r="K10" s="29" t="n">
        <v>80</v>
      </c>
      <c r="L10" s="18" t="s">
        <v>75</v>
      </c>
      <c r="M10" s="27" t="n">
        <v>40</v>
      </c>
      <c r="N10" s="25" t="n">
        <f aca="false">IF(AND(ISNUMBER(J10),ISNUMBER(K10),ISNUMBER(M10),K10&lt;&gt;J10),MAX(0,MIN(1,(M10-J10)/(K10-J10))),"")</f>
        <v>0.5</v>
      </c>
      <c r="O10" s="26"/>
      <c r="P10" s="6"/>
      <c r="Q10" s="6"/>
    </row>
    <row r="11" customFormat="false" ht="15" hidden="false" customHeight="false" outlineLevel="0" collapsed="false">
      <c r="A11" s="6" t="s">
        <v>554</v>
      </c>
      <c r="B11" s="18" t="s">
        <v>541</v>
      </c>
      <c r="C11" s="6" t="s">
        <v>555</v>
      </c>
      <c r="E11" s="19" t="s">
        <v>97</v>
      </c>
      <c r="F11" s="20" t="s">
        <v>93</v>
      </c>
      <c r="G11" s="20" t="s">
        <v>74</v>
      </c>
      <c r="H11" s="20" t="s">
        <v>97</v>
      </c>
      <c r="I11" s="20" t="s">
        <v>97</v>
      </c>
      <c r="J11" s="22" t="n">
        <v>0</v>
      </c>
      <c r="K11" s="29" t="n">
        <v>80</v>
      </c>
      <c r="L11" s="18" t="s">
        <v>98</v>
      </c>
      <c r="M11" s="30"/>
      <c r="N11" s="25" t="str">
        <f aca="false">IF(AND(ISNUMBER(J11),ISNUMBER(K11),ISNUMBER(M11),K11&lt;&gt;J11),MAX(0,MIN(1,(M11-J11)/(K11-J11))),"")</f>
        <v/>
      </c>
      <c r="O11" s="26"/>
      <c r="P11" s="6"/>
      <c r="Q11" s="6"/>
    </row>
    <row r="12" customFormat="false" ht="231" hidden="false" customHeight="true" outlineLevel="0" collapsed="false">
      <c r="A12" s="12" t="s">
        <v>556</v>
      </c>
      <c r="B12" s="12" t="s">
        <v>541</v>
      </c>
      <c r="C12" s="13" t="s">
        <v>557</v>
      </c>
      <c r="D12" s="14" t="s">
        <v>543</v>
      </c>
      <c r="E12" s="15"/>
      <c r="F12" s="15"/>
      <c r="G12" s="15"/>
      <c r="H12" s="15"/>
      <c r="I12" s="15"/>
      <c r="J12" s="15"/>
      <c r="K12" s="15"/>
      <c r="L12" s="15"/>
      <c r="M12" s="16" t="s">
        <v>66</v>
      </c>
      <c r="N12" s="17" t="str">
        <f aca="false">IFERROR(AVERAGE(N13:N15),"")</f>
        <v/>
      </c>
      <c r="O12" s="14"/>
      <c r="P12" s="14" t="s">
        <v>558</v>
      </c>
      <c r="Q12" s="14" t="s">
        <v>559</v>
      </c>
    </row>
    <row r="13" customFormat="false" ht="15" hidden="false" customHeight="false" outlineLevel="0" collapsed="false">
      <c r="A13" s="6" t="s">
        <v>560</v>
      </c>
      <c r="B13" s="18" t="s">
        <v>541</v>
      </c>
      <c r="C13" s="6" t="s">
        <v>204</v>
      </c>
      <c r="E13" s="19" t="s">
        <v>205</v>
      </c>
      <c r="F13" s="20" t="s">
        <v>93</v>
      </c>
      <c r="G13" s="20" t="s">
        <v>74</v>
      </c>
      <c r="H13" s="22" t="n">
        <v>63</v>
      </c>
      <c r="I13" s="20" t="s">
        <v>97</v>
      </c>
      <c r="J13" s="22" t="n">
        <v>63</v>
      </c>
      <c r="K13" s="28" t="n">
        <v>70</v>
      </c>
      <c r="L13" s="18" t="s">
        <v>94</v>
      </c>
      <c r="M13" s="30"/>
      <c r="N13" s="25" t="str">
        <f aca="false">IF(AND(ISNUMBER(J13),ISNUMBER(K13),ISNUMBER(M13),K13&lt;&gt;J13),MAX(0,MIN(1,(M13-J13)/(K13-J13))),"")</f>
        <v/>
      </c>
      <c r="O13" s="26"/>
      <c r="P13" s="6"/>
      <c r="Q13" s="6"/>
    </row>
    <row r="14" customFormat="false" ht="15" hidden="false" customHeight="false" outlineLevel="0" collapsed="false">
      <c r="A14" s="6" t="s">
        <v>561</v>
      </c>
      <c r="B14" s="18" t="s">
        <v>541</v>
      </c>
      <c r="C14" s="6" t="s">
        <v>562</v>
      </c>
      <c r="E14" s="19" t="s">
        <v>563</v>
      </c>
      <c r="F14" s="20" t="s">
        <v>93</v>
      </c>
      <c r="G14" s="20" t="s">
        <v>74</v>
      </c>
      <c r="H14" s="22" t="n">
        <v>70</v>
      </c>
      <c r="I14" s="20" t="s">
        <v>97</v>
      </c>
      <c r="J14" s="22" t="n">
        <v>70</v>
      </c>
      <c r="K14" s="28" t="n">
        <v>75</v>
      </c>
      <c r="L14" s="18" t="s">
        <v>94</v>
      </c>
      <c r="M14" s="30"/>
      <c r="N14" s="25" t="str">
        <f aca="false">IF(AND(ISNUMBER(J14),ISNUMBER(K14),ISNUMBER(M14),K14&lt;&gt;J14),MAX(0,MIN(1,(M14-J14)/(K14-J14))),"")</f>
        <v/>
      </c>
      <c r="O14" s="26"/>
      <c r="P14" s="6"/>
      <c r="Q14" s="6"/>
    </row>
    <row r="15" customFormat="false" ht="15" hidden="false" customHeight="false" outlineLevel="0" collapsed="false">
      <c r="A15" s="6" t="s">
        <v>564</v>
      </c>
      <c r="B15" s="18" t="s">
        <v>541</v>
      </c>
      <c r="C15" s="6" t="s">
        <v>565</v>
      </c>
      <c r="E15" s="19" t="s">
        <v>97</v>
      </c>
      <c r="F15" s="20" t="s">
        <v>79</v>
      </c>
      <c r="G15" s="20" t="s">
        <v>74</v>
      </c>
      <c r="H15" s="20" t="s">
        <v>97</v>
      </c>
      <c r="I15" s="20" t="s">
        <v>97</v>
      </c>
      <c r="J15" s="22" t="n">
        <v>0</v>
      </c>
      <c r="K15" s="29" t="n">
        <v>1</v>
      </c>
      <c r="L15" s="18" t="s">
        <v>98</v>
      </c>
      <c r="M15" s="30"/>
      <c r="N15" s="25" t="str">
        <f aca="false">IF(AND(ISNUMBER(J15),ISNUMBER(K15),ISNUMBER(M15),K15&lt;&gt;J15),MAX(0,MIN(1,(M15-J15)/(K15-J15))),"")</f>
        <v/>
      </c>
      <c r="O15" s="26"/>
      <c r="P15" s="6"/>
      <c r="Q15" s="6"/>
    </row>
    <row r="16" customFormat="false" ht="68.25" hidden="false" customHeight="true" outlineLevel="0" collapsed="false">
      <c r="A16" s="12" t="s">
        <v>566</v>
      </c>
      <c r="B16" s="12" t="s">
        <v>541</v>
      </c>
      <c r="C16" s="13" t="s">
        <v>567</v>
      </c>
      <c r="D16" s="14" t="s">
        <v>543</v>
      </c>
      <c r="E16" s="15"/>
      <c r="F16" s="15"/>
      <c r="G16" s="15"/>
      <c r="H16" s="15"/>
      <c r="I16" s="15"/>
      <c r="J16" s="15"/>
      <c r="K16" s="15"/>
      <c r="L16" s="15"/>
      <c r="M16" s="16" t="s">
        <v>66</v>
      </c>
      <c r="N16" s="17" t="n">
        <f aca="false">IFERROR(AVERAGE(N17:N19),"")</f>
        <v>0</v>
      </c>
      <c r="O16" s="14"/>
      <c r="P16" s="14" t="s">
        <v>568</v>
      </c>
      <c r="Q16" s="14" t="s">
        <v>569</v>
      </c>
    </row>
    <row r="17" customFormat="false" ht="15" hidden="false" customHeight="false" outlineLevel="0" collapsed="false">
      <c r="A17" s="6" t="s">
        <v>570</v>
      </c>
      <c r="B17" s="18" t="s">
        <v>541</v>
      </c>
      <c r="C17" s="6" t="s">
        <v>571</v>
      </c>
      <c r="E17" s="19" t="s">
        <v>572</v>
      </c>
      <c r="F17" s="20" t="s">
        <v>573</v>
      </c>
      <c r="G17" s="20" t="s">
        <v>74</v>
      </c>
      <c r="H17" s="22" t="n">
        <v>88</v>
      </c>
      <c r="I17" s="22" t="n">
        <v>89</v>
      </c>
      <c r="J17" s="22" t="n">
        <v>89</v>
      </c>
      <c r="K17" s="29" t="n">
        <v>93.45</v>
      </c>
      <c r="L17" s="18" t="s">
        <v>138</v>
      </c>
      <c r="M17" s="27" t="n">
        <v>89</v>
      </c>
      <c r="N17" s="25" t="n">
        <f aca="false">IF(AND(ISNUMBER(J17),ISNUMBER(K17),ISNUMBER(M17),K17&lt;&gt;J17),MAX(0,MIN(1,(M17-J17)/(K17-J17))),"")</f>
        <v>0</v>
      </c>
      <c r="O17" s="26"/>
      <c r="P17" s="6"/>
      <c r="Q17" s="6"/>
    </row>
    <row r="18" customFormat="false" ht="15" hidden="false" customHeight="false" outlineLevel="0" collapsed="false">
      <c r="A18" s="6" t="s">
        <v>574</v>
      </c>
      <c r="B18" s="18" t="s">
        <v>541</v>
      </c>
      <c r="C18" s="6" t="s">
        <v>575</v>
      </c>
      <c r="E18" s="19" t="s">
        <v>97</v>
      </c>
      <c r="F18" s="20" t="s">
        <v>93</v>
      </c>
      <c r="G18" s="20" t="s">
        <v>74</v>
      </c>
      <c r="H18" s="20" t="s">
        <v>97</v>
      </c>
      <c r="I18" s="20" t="s">
        <v>97</v>
      </c>
      <c r="J18" s="22" t="n">
        <v>0</v>
      </c>
      <c r="K18" s="29" t="n">
        <v>100</v>
      </c>
      <c r="L18" s="18" t="s">
        <v>98</v>
      </c>
      <c r="M18" s="30"/>
      <c r="N18" s="25" t="str">
        <f aca="false">IF(AND(ISNUMBER(J18),ISNUMBER(K18),ISNUMBER(M18),K18&lt;&gt;J18),MAX(0,MIN(1,(M18-J18)/(K18-J18))),"")</f>
        <v/>
      </c>
      <c r="O18" s="26"/>
      <c r="P18" s="6"/>
      <c r="Q18" s="6"/>
    </row>
    <row r="19" customFormat="false" ht="15" hidden="false" customHeight="false" outlineLevel="0" collapsed="false">
      <c r="A19" s="6" t="s">
        <v>576</v>
      </c>
      <c r="B19" s="18" t="s">
        <v>541</v>
      </c>
      <c r="C19" s="6" t="s">
        <v>577</v>
      </c>
      <c r="E19" s="19" t="s">
        <v>97</v>
      </c>
      <c r="F19" s="20" t="s">
        <v>93</v>
      </c>
      <c r="G19" s="20" t="s">
        <v>74</v>
      </c>
      <c r="H19" s="20" t="s">
        <v>97</v>
      </c>
      <c r="I19" s="20" t="s">
        <v>97</v>
      </c>
      <c r="J19" s="22" t="n">
        <v>0</v>
      </c>
      <c r="K19" s="29" t="n">
        <v>85</v>
      </c>
      <c r="L19" s="18" t="s">
        <v>98</v>
      </c>
      <c r="M19" s="30"/>
      <c r="N19" s="25" t="str">
        <f aca="false">IF(AND(ISNUMBER(J19),ISNUMBER(K19),ISNUMBER(M19),K19&lt;&gt;J19),MAX(0,MIN(1,(M19-J19)/(K19-J19))),"")</f>
        <v/>
      </c>
      <c r="O19" s="26"/>
      <c r="P19" s="6"/>
      <c r="Q19" s="6"/>
    </row>
    <row r="20" customFormat="false" ht="24" hidden="false" customHeight="true" outlineLevel="0" collapsed="false">
      <c r="A20" s="35" t="s">
        <v>578</v>
      </c>
      <c r="B20" s="34"/>
      <c r="C20" s="34"/>
      <c r="D20" s="34"/>
      <c r="E20" s="34"/>
      <c r="F20" s="34"/>
      <c r="G20" s="34"/>
      <c r="H20" s="34"/>
      <c r="I20" s="34"/>
      <c r="J20" s="34"/>
      <c r="K20" s="34"/>
      <c r="L20" s="34"/>
      <c r="M20" s="34"/>
      <c r="N20" s="34"/>
      <c r="O20" s="34"/>
      <c r="P20" s="34"/>
      <c r="Q20" s="34"/>
    </row>
    <row r="21" customFormat="false" ht="118.5" hidden="false" customHeight="true" outlineLevel="0" collapsed="false">
      <c r="A21" s="12" t="s">
        <v>579</v>
      </c>
      <c r="B21" s="12" t="s">
        <v>580</v>
      </c>
      <c r="C21" s="13" t="s">
        <v>581</v>
      </c>
      <c r="D21" s="14" t="s">
        <v>582</v>
      </c>
      <c r="E21" s="15"/>
      <c r="F21" s="15"/>
      <c r="G21" s="15"/>
      <c r="H21" s="15"/>
      <c r="I21" s="15"/>
      <c r="J21" s="15"/>
      <c r="K21" s="15"/>
      <c r="L21" s="15"/>
      <c r="M21" s="16" t="s">
        <v>66</v>
      </c>
      <c r="N21" s="17" t="n">
        <f aca="false">IFERROR(AVERAGE(N22:N23),"")</f>
        <v>0</v>
      </c>
      <c r="O21" s="14"/>
      <c r="P21" s="14" t="s">
        <v>583</v>
      </c>
      <c r="Q21" s="14" t="s">
        <v>584</v>
      </c>
    </row>
    <row r="22" customFormat="false" ht="15" hidden="false" customHeight="false" outlineLevel="0" collapsed="false">
      <c r="A22" s="6" t="s">
        <v>585</v>
      </c>
      <c r="B22" s="18" t="s">
        <v>580</v>
      </c>
      <c r="C22" s="6" t="s">
        <v>230</v>
      </c>
      <c r="E22" s="19" t="s">
        <v>231</v>
      </c>
      <c r="F22" s="20" t="s">
        <v>117</v>
      </c>
      <c r="G22" s="20" t="s">
        <v>118</v>
      </c>
      <c r="H22" s="22" t="n">
        <v>6</v>
      </c>
      <c r="I22" s="22" t="n">
        <v>5.5</v>
      </c>
      <c r="J22" s="22" t="n">
        <v>5.5</v>
      </c>
      <c r="K22" s="29" t="n">
        <v>5.225</v>
      </c>
      <c r="L22" s="18" t="s">
        <v>138</v>
      </c>
      <c r="M22" s="27" t="n">
        <v>5.5</v>
      </c>
      <c r="N22" s="25" t="n">
        <f aca="false">IF(AND(ISNUMBER(J22),ISNUMBER(K22),ISNUMBER(M22),K22&lt;&gt;J22),MAX(0,MIN(1,(M22-J22)/(K22-J22))),"")</f>
        <v>-0</v>
      </c>
      <c r="O22" s="26"/>
      <c r="P22" s="6"/>
      <c r="Q22" s="6"/>
    </row>
    <row r="23" customFormat="false" ht="15" hidden="false" customHeight="false" outlineLevel="0" collapsed="false">
      <c r="A23" s="6" t="s">
        <v>586</v>
      </c>
      <c r="B23" s="18" t="s">
        <v>580</v>
      </c>
      <c r="C23" s="6" t="s">
        <v>587</v>
      </c>
      <c r="E23" s="19" t="s">
        <v>588</v>
      </c>
      <c r="F23" s="20" t="s">
        <v>117</v>
      </c>
      <c r="G23" s="20" t="s">
        <v>118</v>
      </c>
      <c r="H23" s="22" t="n">
        <v>6</v>
      </c>
      <c r="I23" s="22" t="n">
        <v>5.5</v>
      </c>
      <c r="J23" s="22" t="n">
        <v>5.5</v>
      </c>
      <c r="K23" s="29" t="n">
        <v>5.225</v>
      </c>
      <c r="L23" s="18" t="s">
        <v>138</v>
      </c>
      <c r="M23" s="27" t="n">
        <v>5.5</v>
      </c>
      <c r="N23" s="25" t="n">
        <f aca="false">IF(AND(ISNUMBER(J23),ISNUMBER(K23),ISNUMBER(M23),K23&lt;&gt;J23),MAX(0,MIN(1,(M23-J23)/(K23-J23))),"")</f>
        <v>-0</v>
      </c>
      <c r="O23" s="26"/>
      <c r="P23" s="6"/>
      <c r="Q23" s="6"/>
    </row>
    <row r="24" customFormat="false" ht="45" hidden="false" customHeight="true" outlineLevel="0" collapsed="false">
      <c r="A24" s="12" t="s">
        <v>589</v>
      </c>
      <c r="B24" s="12" t="s">
        <v>580</v>
      </c>
      <c r="C24" s="13" t="s">
        <v>590</v>
      </c>
      <c r="D24" s="14" t="s">
        <v>582</v>
      </c>
      <c r="E24" s="15"/>
      <c r="F24" s="15"/>
      <c r="G24" s="15"/>
      <c r="H24" s="15"/>
      <c r="I24" s="15"/>
      <c r="J24" s="15"/>
      <c r="K24" s="15"/>
      <c r="L24" s="15"/>
      <c r="M24" s="16" t="s">
        <v>66</v>
      </c>
      <c r="N24" s="17" t="str">
        <f aca="false">IFERROR(AVERAGE(N25:N26),"")</f>
        <v/>
      </c>
      <c r="O24" s="14"/>
      <c r="P24" s="14" t="s">
        <v>591</v>
      </c>
      <c r="Q24" s="14"/>
    </row>
    <row r="25" customFormat="false" ht="15" hidden="false" customHeight="false" outlineLevel="0" collapsed="false">
      <c r="A25" s="6" t="s">
        <v>592</v>
      </c>
      <c r="B25" s="18" t="s">
        <v>580</v>
      </c>
      <c r="C25" s="6" t="s">
        <v>593</v>
      </c>
      <c r="E25" s="19" t="s">
        <v>97</v>
      </c>
      <c r="F25" s="20" t="s">
        <v>93</v>
      </c>
      <c r="G25" s="20" t="s">
        <v>74</v>
      </c>
      <c r="H25" s="20" t="s">
        <v>97</v>
      </c>
      <c r="I25" s="20" t="s">
        <v>97</v>
      </c>
      <c r="J25" s="22" t="n">
        <v>0</v>
      </c>
      <c r="K25" s="29" t="n">
        <v>100</v>
      </c>
      <c r="L25" s="18" t="s">
        <v>98</v>
      </c>
      <c r="M25" s="30"/>
      <c r="N25" s="25" t="str">
        <f aca="false">IF(AND(ISNUMBER(J25),ISNUMBER(K25),ISNUMBER(M25),K25&lt;&gt;J25),MAX(0,MIN(1,(M25-J25)/(K25-J25))),"")</f>
        <v/>
      </c>
      <c r="O25" s="26"/>
      <c r="P25" s="6"/>
      <c r="Q25" s="6"/>
    </row>
    <row r="26" customFormat="false" ht="15" hidden="false" customHeight="false" outlineLevel="0" collapsed="false">
      <c r="A26" s="6" t="s">
        <v>594</v>
      </c>
      <c r="B26" s="18" t="s">
        <v>580</v>
      </c>
      <c r="C26" s="6" t="s">
        <v>595</v>
      </c>
      <c r="E26" s="19" t="s">
        <v>97</v>
      </c>
      <c r="F26" s="20" t="s">
        <v>93</v>
      </c>
      <c r="G26" s="20" t="s">
        <v>74</v>
      </c>
      <c r="H26" s="20" t="s">
        <v>97</v>
      </c>
      <c r="I26" s="20" t="s">
        <v>97</v>
      </c>
      <c r="J26" s="22" t="n">
        <v>0</v>
      </c>
      <c r="K26" s="29" t="n">
        <v>100</v>
      </c>
      <c r="L26" s="18" t="s">
        <v>98</v>
      </c>
      <c r="M26" s="30"/>
      <c r="N26" s="25" t="str">
        <f aca="false">IF(AND(ISNUMBER(J26),ISNUMBER(K26),ISNUMBER(M26),K26&lt;&gt;J26),MAX(0,MIN(1,(M26-J26)/(K26-J26))),"")</f>
        <v/>
      </c>
      <c r="O26" s="26"/>
      <c r="P26" s="6"/>
      <c r="Q26" s="6"/>
    </row>
    <row r="27" customFormat="false" ht="143.25" hidden="false" customHeight="true" outlineLevel="0" collapsed="false">
      <c r="A27" s="12" t="s">
        <v>596</v>
      </c>
      <c r="B27" s="12" t="s">
        <v>580</v>
      </c>
      <c r="C27" s="13" t="s">
        <v>597</v>
      </c>
      <c r="D27" s="14" t="s">
        <v>582</v>
      </c>
      <c r="E27" s="15"/>
      <c r="F27" s="15"/>
      <c r="G27" s="15"/>
      <c r="H27" s="15"/>
      <c r="I27" s="15"/>
      <c r="J27" s="15"/>
      <c r="K27" s="15"/>
      <c r="L27" s="15"/>
      <c r="M27" s="16" t="s">
        <v>66</v>
      </c>
      <c r="N27" s="17" t="n">
        <f aca="false">IFERROR(AVERAGE(N28:N29),"")</f>
        <v>0</v>
      </c>
      <c r="O27" s="14"/>
      <c r="P27" s="14" t="s">
        <v>598</v>
      </c>
      <c r="Q27" s="14" t="s">
        <v>599</v>
      </c>
    </row>
    <row r="28" customFormat="false" ht="22.35" hidden="false" customHeight="false" outlineLevel="0" collapsed="false">
      <c r="A28" s="6" t="s">
        <v>600</v>
      </c>
      <c r="B28" s="18" t="s">
        <v>580</v>
      </c>
      <c r="C28" s="6" t="s">
        <v>601</v>
      </c>
      <c r="E28" s="19" t="s">
        <v>602</v>
      </c>
      <c r="F28" s="20" t="s">
        <v>93</v>
      </c>
      <c r="G28" s="20" t="s">
        <v>74</v>
      </c>
      <c r="H28" s="22" t="n">
        <v>66.23</v>
      </c>
      <c r="I28" s="22" t="n">
        <v>2.2</v>
      </c>
      <c r="J28" s="22" t="n">
        <v>2.2</v>
      </c>
      <c r="K28" s="28" t="n">
        <v>12.5</v>
      </c>
      <c r="L28" s="18" t="s">
        <v>119</v>
      </c>
      <c r="M28" s="27" t="n">
        <v>2.2</v>
      </c>
      <c r="N28" s="25" t="n">
        <f aca="false">IF(AND(ISNUMBER(J28),ISNUMBER(K28),ISNUMBER(M28),K28&lt;&gt;J28),MAX(0,MIN(1,(M28-J28)/(K28-J28))),"")</f>
        <v>0</v>
      </c>
      <c r="O28" s="31" t="s">
        <v>139</v>
      </c>
      <c r="P28" s="6"/>
      <c r="Q28" s="6"/>
    </row>
    <row r="29" customFormat="false" ht="15" hidden="false" customHeight="false" outlineLevel="0" collapsed="false">
      <c r="A29" s="6" t="s">
        <v>603</v>
      </c>
      <c r="B29" s="18" t="s">
        <v>580</v>
      </c>
      <c r="C29" s="6" t="s">
        <v>233</v>
      </c>
      <c r="E29" s="19" t="s">
        <v>234</v>
      </c>
      <c r="F29" s="20" t="s">
        <v>93</v>
      </c>
      <c r="G29" s="20" t="s">
        <v>74</v>
      </c>
      <c r="H29" s="22" t="n">
        <v>60</v>
      </c>
      <c r="I29" s="20" t="s">
        <v>97</v>
      </c>
      <c r="J29" s="22" t="n">
        <v>60</v>
      </c>
      <c r="K29" s="29" t="n">
        <v>80</v>
      </c>
      <c r="L29" s="18" t="s">
        <v>168</v>
      </c>
      <c r="M29" s="30"/>
      <c r="N29" s="25" t="str">
        <f aca="false">IF(AND(ISNUMBER(J29),ISNUMBER(K29),ISNUMBER(M29),K29&lt;&gt;J29),MAX(0,MIN(1,(M29-J29)/(K29-J29))),"")</f>
        <v/>
      </c>
      <c r="O29" s="26"/>
      <c r="P29" s="6"/>
      <c r="Q29" s="6"/>
    </row>
    <row r="30" customFormat="false" ht="55.5" hidden="false" customHeight="true" outlineLevel="0" collapsed="false">
      <c r="A30" s="12" t="s">
        <v>604</v>
      </c>
      <c r="B30" s="12" t="s">
        <v>580</v>
      </c>
      <c r="C30" s="13" t="s">
        <v>605</v>
      </c>
      <c r="D30" s="14" t="s">
        <v>582</v>
      </c>
      <c r="E30" s="15"/>
      <c r="F30" s="15"/>
      <c r="G30" s="15"/>
      <c r="H30" s="15"/>
      <c r="I30" s="15"/>
      <c r="J30" s="15"/>
      <c r="K30" s="15"/>
      <c r="L30" s="15"/>
      <c r="M30" s="16" t="s">
        <v>66</v>
      </c>
      <c r="N30" s="17" t="n">
        <f aca="false">IFERROR(AVERAGE(N31:N33),"")</f>
        <v>0</v>
      </c>
      <c r="O30" s="14"/>
      <c r="P30" s="14" t="s">
        <v>606</v>
      </c>
      <c r="Q30" s="14" t="s">
        <v>607</v>
      </c>
    </row>
    <row r="31" customFormat="false" ht="15" hidden="false" customHeight="false" outlineLevel="0" collapsed="false">
      <c r="A31" s="6" t="s">
        <v>608</v>
      </c>
      <c r="B31" s="18" t="s">
        <v>580</v>
      </c>
      <c r="C31" s="6" t="s">
        <v>609</v>
      </c>
      <c r="E31" s="19" t="s">
        <v>610</v>
      </c>
      <c r="F31" s="20" t="s">
        <v>573</v>
      </c>
      <c r="G31" s="20" t="s">
        <v>74</v>
      </c>
      <c r="H31" s="22" t="n">
        <v>83</v>
      </c>
      <c r="I31" s="22" t="n">
        <v>85</v>
      </c>
      <c r="J31" s="22" t="n">
        <v>85</v>
      </c>
      <c r="K31" s="28" t="n">
        <v>87</v>
      </c>
      <c r="L31" s="18" t="s">
        <v>119</v>
      </c>
      <c r="M31" s="27" t="n">
        <v>85</v>
      </c>
      <c r="N31" s="25" t="n">
        <f aca="false">IF(AND(ISNUMBER(J31),ISNUMBER(K31),ISNUMBER(M31),K31&lt;&gt;J31),MAX(0,MIN(1,(M31-J31)/(K31-J31))),"")</f>
        <v>0</v>
      </c>
      <c r="O31" s="26"/>
      <c r="P31" s="6"/>
      <c r="Q31" s="6"/>
    </row>
    <row r="32" customFormat="false" ht="15" hidden="false" customHeight="false" outlineLevel="0" collapsed="false">
      <c r="A32" s="6" t="s">
        <v>611</v>
      </c>
      <c r="B32" s="18" t="s">
        <v>580</v>
      </c>
      <c r="C32" s="6" t="s">
        <v>612</v>
      </c>
      <c r="E32" s="19" t="s">
        <v>97</v>
      </c>
      <c r="F32" s="20" t="s">
        <v>93</v>
      </c>
      <c r="G32" s="20" t="s">
        <v>74</v>
      </c>
      <c r="H32" s="20" t="s">
        <v>97</v>
      </c>
      <c r="I32" s="20" t="s">
        <v>97</v>
      </c>
      <c r="J32" s="22" t="n">
        <v>0</v>
      </c>
      <c r="K32" s="29" t="n">
        <v>100</v>
      </c>
      <c r="L32" s="18" t="s">
        <v>98</v>
      </c>
      <c r="M32" s="30"/>
      <c r="N32" s="25" t="str">
        <f aca="false">IF(AND(ISNUMBER(J32),ISNUMBER(K32),ISNUMBER(M32),K32&lt;&gt;J32),MAX(0,MIN(1,(M32-J32)/(K32-J32))),"")</f>
        <v/>
      </c>
      <c r="O32" s="26"/>
      <c r="P32" s="6"/>
      <c r="Q32" s="6"/>
    </row>
    <row r="33" customFormat="false" ht="15" hidden="false" customHeight="false" outlineLevel="0" collapsed="false">
      <c r="A33" s="6" t="s">
        <v>613</v>
      </c>
      <c r="B33" s="18" t="s">
        <v>580</v>
      </c>
      <c r="C33" s="6" t="s">
        <v>614</v>
      </c>
      <c r="E33" s="19" t="s">
        <v>97</v>
      </c>
      <c r="F33" s="20" t="s">
        <v>93</v>
      </c>
      <c r="G33" s="20" t="s">
        <v>74</v>
      </c>
      <c r="H33" s="20" t="s">
        <v>97</v>
      </c>
      <c r="I33" s="20" t="s">
        <v>97</v>
      </c>
      <c r="J33" s="22" t="n">
        <v>0</v>
      </c>
      <c r="K33" s="29" t="n">
        <v>100</v>
      </c>
      <c r="L33" s="18" t="s">
        <v>98</v>
      </c>
      <c r="M33" s="30"/>
      <c r="N33" s="25" t="str">
        <f aca="false">IF(AND(ISNUMBER(J33),ISNUMBER(K33),ISNUMBER(M33),K33&lt;&gt;J33),MAX(0,MIN(1,(M33-J33)/(K33-J33))),"")</f>
        <v/>
      </c>
      <c r="O33" s="26"/>
      <c r="P33" s="6"/>
      <c r="Q33" s="6"/>
    </row>
    <row r="34" customFormat="false" ht="24" hidden="false" customHeight="true" outlineLevel="0" collapsed="false">
      <c r="A34" s="35" t="s">
        <v>615</v>
      </c>
      <c r="B34" s="34"/>
      <c r="C34" s="34"/>
      <c r="D34" s="34"/>
      <c r="E34" s="34"/>
      <c r="F34" s="34"/>
      <c r="G34" s="34"/>
      <c r="H34" s="34"/>
      <c r="I34" s="34"/>
      <c r="J34" s="34"/>
      <c r="K34" s="34"/>
      <c r="L34" s="34"/>
      <c r="M34" s="34"/>
      <c r="N34" s="34"/>
      <c r="O34" s="34"/>
      <c r="P34" s="34"/>
      <c r="Q34" s="34"/>
    </row>
    <row r="35" customFormat="false" ht="156" hidden="false" customHeight="true" outlineLevel="0" collapsed="false">
      <c r="A35" s="12" t="s">
        <v>616</v>
      </c>
      <c r="B35" s="12" t="s">
        <v>617</v>
      </c>
      <c r="C35" s="13" t="s">
        <v>618</v>
      </c>
      <c r="D35" s="14" t="s">
        <v>619</v>
      </c>
      <c r="E35" s="15"/>
      <c r="F35" s="15"/>
      <c r="G35" s="15"/>
      <c r="H35" s="15"/>
      <c r="I35" s="15"/>
      <c r="J35" s="15"/>
      <c r="K35" s="15"/>
      <c r="L35" s="15"/>
      <c r="M35" s="16" t="s">
        <v>66</v>
      </c>
      <c r="N35" s="17" t="n">
        <f aca="false">IFERROR(AVERAGE(N36:N39),"")</f>
        <v>0</v>
      </c>
      <c r="O35" s="14"/>
      <c r="P35" s="14" t="s">
        <v>620</v>
      </c>
      <c r="Q35" s="14" t="s">
        <v>621</v>
      </c>
    </row>
    <row r="36" customFormat="false" ht="15" hidden="false" customHeight="false" outlineLevel="0" collapsed="false">
      <c r="A36" s="6" t="s">
        <v>622</v>
      </c>
      <c r="B36" s="18" t="s">
        <v>617</v>
      </c>
      <c r="C36" s="6" t="s">
        <v>141</v>
      </c>
      <c r="E36" s="19" t="s">
        <v>216</v>
      </c>
      <c r="F36" s="20" t="s">
        <v>117</v>
      </c>
      <c r="G36" s="20" t="s">
        <v>118</v>
      </c>
      <c r="H36" s="22" t="n">
        <v>8.1</v>
      </c>
      <c r="I36" s="22" t="n">
        <v>8.07</v>
      </c>
      <c r="J36" s="22" t="n">
        <v>8.07</v>
      </c>
      <c r="K36" s="28" t="n">
        <v>7</v>
      </c>
      <c r="L36" s="18" t="s">
        <v>119</v>
      </c>
      <c r="M36" s="27" t="n">
        <v>8.07</v>
      </c>
      <c r="N36" s="25" t="n">
        <f aca="false">IF(AND(ISNUMBER(J36),ISNUMBER(K36),ISNUMBER(M36),K36&lt;&gt;J36),MAX(0,MIN(1,(M36-J36)/(K36-J36))),"")</f>
        <v>-0</v>
      </c>
      <c r="O36" s="26"/>
      <c r="P36" s="6"/>
      <c r="Q36" s="6"/>
    </row>
    <row r="37" customFormat="false" ht="15" hidden="false" customHeight="false" outlineLevel="0" collapsed="false">
      <c r="A37" s="6" t="s">
        <v>623</v>
      </c>
      <c r="B37" s="18" t="s">
        <v>617</v>
      </c>
      <c r="C37" s="6" t="s">
        <v>218</v>
      </c>
      <c r="E37" s="19" t="s">
        <v>219</v>
      </c>
      <c r="F37" s="20" t="s">
        <v>93</v>
      </c>
      <c r="G37" s="20" t="s">
        <v>74</v>
      </c>
      <c r="H37" s="22" t="n">
        <v>92.91</v>
      </c>
      <c r="I37" s="22" t="n">
        <v>78.8</v>
      </c>
      <c r="J37" s="22" t="n">
        <v>78.8</v>
      </c>
      <c r="K37" s="28" t="n">
        <v>93</v>
      </c>
      <c r="L37" s="18" t="s">
        <v>119</v>
      </c>
      <c r="M37" s="27" t="n">
        <v>78.8</v>
      </c>
      <c r="N37" s="25" t="n">
        <f aca="false">IF(AND(ISNUMBER(J37),ISNUMBER(K37),ISNUMBER(M37),K37&lt;&gt;J37),MAX(0,MIN(1,(M37-J37)/(K37-J37))),"")</f>
        <v>0</v>
      </c>
      <c r="O37" s="26"/>
      <c r="P37" s="6"/>
      <c r="Q37" s="6"/>
    </row>
    <row r="38" customFormat="false" ht="15" hidden="false" customHeight="false" outlineLevel="0" collapsed="false">
      <c r="A38" s="6" t="s">
        <v>624</v>
      </c>
      <c r="B38" s="18" t="s">
        <v>617</v>
      </c>
      <c r="C38" s="6" t="s">
        <v>625</v>
      </c>
      <c r="E38" s="19" t="s">
        <v>626</v>
      </c>
      <c r="F38" s="20" t="s">
        <v>93</v>
      </c>
      <c r="G38" s="20" t="s">
        <v>74</v>
      </c>
      <c r="H38" s="22" t="n">
        <v>85.12</v>
      </c>
      <c r="I38" s="22" t="n">
        <v>68.69</v>
      </c>
      <c r="J38" s="22" t="n">
        <v>68.69</v>
      </c>
      <c r="K38" s="28" t="n">
        <v>81</v>
      </c>
      <c r="L38" s="18" t="s">
        <v>119</v>
      </c>
      <c r="M38" s="27" t="n">
        <v>68.69</v>
      </c>
      <c r="N38" s="25" t="n">
        <f aca="false">IF(AND(ISNUMBER(J38),ISNUMBER(K38),ISNUMBER(M38),K38&lt;&gt;J38),MAX(0,MIN(1,(M38-J38)/(K38-J38))),"")</f>
        <v>0</v>
      </c>
      <c r="O38" s="26"/>
      <c r="P38" s="6"/>
      <c r="Q38" s="6"/>
    </row>
    <row r="39" customFormat="false" ht="15" hidden="false" customHeight="false" outlineLevel="0" collapsed="false">
      <c r="A39" s="6" t="s">
        <v>627</v>
      </c>
      <c r="B39" s="18" t="s">
        <v>617</v>
      </c>
      <c r="C39" s="6" t="s">
        <v>628</v>
      </c>
      <c r="E39" s="19" t="s">
        <v>629</v>
      </c>
      <c r="F39" s="20" t="s">
        <v>93</v>
      </c>
      <c r="G39" s="20" t="s">
        <v>74</v>
      </c>
      <c r="H39" s="22" t="n">
        <v>70</v>
      </c>
      <c r="I39" s="20" t="s">
        <v>97</v>
      </c>
      <c r="J39" s="22" t="n">
        <v>70</v>
      </c>
      <c r="K39" s="28" t="n">
        <v>83.5</v>
      </c>
      <c r="L39" s="18" t="s">
        <v>119</v>
      </c>
      <c r="M39" s="30"/>
      <c r="N39" s="25" t="str">
        <f aca="false">IF(AND(ISNUMBER(J39),ISNUMBER(K39),ISNUMBER(M39),K39&lt;&gt;J39),MAX(0,MIN(1,(M39-J39)/(K39-J39))),"")</f>
        <v/>
      </c>
      <c r="O39" s="26"/>
      <c r="P39" s="6"/>
      <c r="Q39" s="6"/>
    </row>
    <row r="40" customFormat="false" ht="168" hidden="false" customHeight="true" outlineLevel="0" collapsed="false">
      <c r="A40" s="12" t="s">
        <v>630</v>
      </c>
      <c r="B40" s="12" t="s">
        <v>617</v>
      </c>
      <c r="C40" s="13" t="s">
        <v>631</v>
      </c>
      <c r="D40" s="14" t="s">
        <v>619</v>
      </c>
      <c r="E40" s="15"/>
      <c r="F40" s="15"/>
      <c r="G40" s="15"/>
      <c r="H40" s="15"/>
      <c r="I40" s="15"/>
      <c r="J40" s="15"/>
      <c r="K40" s="15"/>
      <c r="L40" s="15"/>
      <c r="M40" s="16" t="s">
        <v>66</v>
      </c>
      <c r="N40" s="17" t="n">
        <f aca="false">IFERROR(AVERAGE(N41:N43),"")</f>
        <v>0</v>
      </c>
      <c r="O40" s="14"/>
      <c r="P40" s="14" t="s">
        <v>632</v>
      </c>
      <c r="Q40" s="14" t="s">
        <v>633</v>
      </c>
    </row>
    <row r="41" customFormat="false" ht="22.35" hidden="false" customHeight="false" outlineLevel="0" collapsed="false">
      <c r="A41" s="6" t="s">
        <v>634</v>
      </c>
      <c r="B41" s="18" t="s">
        <v>617</v>
      </c>
      <c r="C41" s="6" t="s">
        <v>136</v>
      </c>
      <c r="E41" s="19" t="s">
        <v>224</v>
      </c>
      <c r="F41" s="20" t="s">
        <v>134</v>
      </c>
      <c r="G41" s="20" t="s">
        <v>118</v>
      </c>
      <c r="H41" s="22" t="n">
        <v>194.52</v>
      </c>
      <c r="I41" s="21" t="n">
        <v>1057.88</v>
      </c>
      <c r="J41" s="21" t="n">
        <v>1057.88</v>
      </c>
      <c r="K41" s="23" t="n">
        <v>1004.986</v>
      </c>
      <c r="L41" s="18" t="s">
        <v>138</v>
      </c>
      <c r="M41" s="24" t="n">
        <v>1057.88</v>
      </c>
      <c r="N41" s="25" t="n">
        <f aca="false">IF(AND(ISNUMBER(J41),ISNUMBER(K41),ISNUMBER(M41),K41&lt;&gt;J41),MAX(0,MIN(1,(M41-J41)/(K41-J41))),"")</f>
        <v>-0</v>
      </c>
      <c r="O41" s="31" t="s">
        <v>139</v>
      </c>
      <c r="P41" s="6"/>
      <c r="Q41" s="6"/>
    </row>
    <row r="42" customFormat="false" ht="15" hidden="false" customHeight="false" outlineLevel="0" collapsed="false">
      <c r="A42" s="6" t="s">
        <v>635</v>
      </c>
      <c r="B42" s="18" t="s">
        <v>617</v>
      </c>
      <c r="C42" s="6" t="s">
        <v>636</v>
      </c>
      <c r="E42" s="19" t="s">
        <v>637</v>
      </c>
      <c r="F42" s="20" t="s">
        <v>93</v>
      </c>
      <c r="G42" s="20" t="s">
        <v>118</v>
      </c>
      <c r="H42" s="22" t="n">
        <v>5.95</v>
      </c>
      <c r="I42" s="22" t="n">
        <v>6.22</v>
      </c>
      <c r="J42" s="22" t="n">
        <v>6.22</v>
      </c>
      <c r="K42" s="28" t="n">
        <v>5.5</v>
      </c>
      <c r="L42" s="18" t="s">
        <v>119</v>
      </c>
      <c r="M42" s="27" t="n">
        <v>6.22</v>
      </c>
      <c r="N42" s="25" t="n">
        <f aca="false">IF(AND(ISNUMBER(J42),ISNUMBER(K42),ISNUMBER(M42),K42&lt;&gt;J42),MAX(0,MIN(1,(M42-J42)/(K42-J42))),"")</f>
        <v>-0</v>
      </c>
      <c r="O42" s="26"/>
      <c r="P42" s="6"/>
      <c r="Q42" s="6"/>
    </row>
    <row r="43" customFormat="false" ht="15" hidden="false" customHeight="false" outlineLevel="0" collapsed="false">
      <c r="A43" s="6" t="s">
        <v>638</v>
      </c>
      <c r="B43" s="18" t="s">
        <v>617</v>
      </c>
      <c r="C43" s="6" t="s">
        <v>639</v>
      </c>
      <c r="E43" s="19" t="s">
        <v>97</v>
      </c>
      <c r="F43" s="20" t="s">
        <v>79</v>
      </c>
      <c r="G43" s="20" t="s">
        <v>74</v>
      </c>
      <c r="H43" s="20" t="s">
        <v>97</v>
      </c>
      <c r="I43" s="20" t="s">
        <v>97</v>
      </c>
      <c r="J43" s="22" t="n">
        <v>0</v>
      </c>
      <c r="K43" s="29" t="n">
        <v>4</v>
      </c>
      <c r="L43" s="18" t="s">
        <v>98</v>
      </c>
      <c r="M43" s="30"/>
      <c r="N43" s="25" t="str">
        <f aca="false">IF(AND(ISNUMBER(J43),ISNUMBER(K43),ISNUMBER(M43),K43&lt;&gt;J43),MAX(0,MIN(1,(M43-J43)/(K43-J43))),"")</f>
        <v/>
      </c>
      <c r="O43" s="26"/>
      <c r="P43" s="6"/>
      <c r="Q43" s="6"/>
    </row>
    <row r="44" customFormat="false" ht="68.25" hidden="false" customHeight="true" outlineLevel="0" collapsed="false">
      <c r="A44" s="12" t="s">
        <v>640</v>
      </c>
      <c r="B44" s="12" t="s">
        <v>617</v>
      </c>
      <c r="C44" s="13" t="s">
        <v>641</v>
      </c>
      <c r="D44" s="14" t="s">
        <v>619</v>
      </c>
      <c r="E44" s="15"/>
      <c r="F44" s="15"/>
      <c r="G44" s="15"/>
      <c r="H44" s="15"/>
      <c r="I44" s="15"/>
      <c r="J44" s="15"/>
      <c r="K44" s="15"/>
      <c r="L44" s="15"/>
      <c r="M44" s="16" t="s">
        <v>66</v>
      </c>
      <c r="N44" s="17" t="n">
        <f aca="false">IFERROR(AVERAGE(N45:N47),"")</f>
        <v>0</v>
      </c>
      <c r="O44" s="14"/>
      <c r="P44" s="14" t="s">
        <v>642</v>
      </c>
      <c r="Q44" s="14" t="s">
        <v>643</v>
      </c>
    </row>
    <row r="45" customFormat="false" ht="15" hidden="false" customHeight="false" outlineLevel="0" collapsed="false">
      <c r="A45" s="6" t="s">
        <v>644</v>
      </c>
      <c r="B45" s="18" t="s">
        <v>617</v>
      </c>
      <c r="C45" s="6" t="s">
        <v>221</v>
      </c>
      <c r="E45" s="19" t="s">
        <v>222</v>
      </c>
      <c r="F45" s="20" t="s">
        <v>117</v>
      </c>
      <c r="G45" s="20" t="s">
        <v>118</v>
      </c>
      <c r="H45" s="22" t="n">
        <v>9.96</v>
      </c>
      <c r="I45" s="22" t="n">
        <v>9.16</v>
      </c>
      <c r="J45" s="22" t="n">
        <v>9.16</v>
      </c>
      <c r="K45" s="28" t="n">
        <v>5</v>
      </c>
      <c r="L45" s="18" t="s">
        <v>119</v>
      </c>
      <c r="M45" s="27" t="n">
        <v>9.16</v>
      </c>
      <c r="N45" s="25" t="n">
        <f aca="false">IF(AND(ISNUMBER(J45),ISNUMBER(K45),ISNUMBER(M45),K45&lt;&gt;J45),MAX(0,MIN(1,(M45-J45)/(K45-J45))),"")</f>
        <v>-0</v>
      </c>
      <c r="O45" s="26"/>
      <c r="P45" s="6"/>
      <c r="Q45" s="6"/>
    </row>
    <row r="46" customFormat="false" ht="15" hidden="false" customHeight="false" outlineLevel="0" collapsed="false">
      <c r="A46" s="6" t="s">
        <v>645</v>
      </c>
      <c r="B46" s="18" t="s">
        <v>617</v>
      </c>
      <c r="C46" s="6" t="s">
        <v>646</v>
      </c>
      <c r="E46" s="19" t="s">
        <v>647</v>
      </c>
      <c r="F46" s="20" t="s">
        <v>117</v>
      </c>
      <c r="G46" s="20" t="s">
        <v>118</v>
      </c>
      <c r="H46" s="22" t="n">
        <v>9.71</v>
      </c>
      <c r="I46" s="22" t="n">
        <v>9.2</v>
      </c>
      <c r="J46" s="22" t="n">
        <v>9.2</v>
      </c>
      <c r="K46" s="28" t="n">
        <v>6.5</v>
      </c>
      <c r="L46" s="18" t="s">
        <v>119</v>
      </c>
      <c r="M46" s="27" t="n">
        <v>9.2</v>
      </c>
      <c r="N46" s="25" t="n">
        <f aca="false">IF(AND(ISNUMBER(J46),ISNUMBER(K46),ISNUMBER(M46),K46&lt;&gt;J46),MAX(0,MIN(1,(M46-J46)/(K46-J46))),"")</f>
        <v>-0</v>
      </c>
      <c r="O46" s="26"/>
      <c r="P46" s="6"/>
      <c r="Q46" s="6"/>
    </row>
    <row r="47" customFormat="false" ht="15" hidden="false" customHeight="false" outlineLevel="0" collapsed="false">
      <c r="A47" s="6" t="s">
        <v>648</v>
      </c>
      <c r="B47" s="18" t="s">
        <v>617</v>
      </c>
      <c r="C47" s="6" t="s">
        <v>649</v>
      </c>
      <c r="E47" s="19" t="s">
        <v>650</v>
      </c>
      <c r="F47" s="20" t="s">
        <v>93</v>
      </c>
      <c r="G47" s="20" t="s">
        <v>118</v>
      </c>
      <c r="H47" s="22" t="n">
        <v>0.55</v>
      </c>
      <c r="I47" s="22" t="n">
        <v>0.86</v>
      </c>
      <c r="J47" s="22" t="n">
        <v>0.86</v>
      </c>
      <c r="K47" s="28" t="n">
        <v>0.5</v>
      </c>
      <c r="L47" s="18" t="s">
        <v>119</v>
      </c>
      <c r="M47" s="27" t="n">
        <v>0.86</v>
      </c>
      <c r="N47" s="25" t="n">
        <f aca="false">IF(AND(ISNUMBER(J47),ISNUMBER(K47),ISNUMBER(M47),K47&lt;&gt;J47),MAX(0,MIN(1,(M47-J47)/(K47-J47))),"")</f>
        <v>-0</v>
      </c>
      <c r="O47" s="26"/>
      <c r="P47" s="6"/>
      <c r="Q47" s="6"/>
    </row>
    <row r="48" customFormat="false" ht="105.75" hidden="false" customHeight="true" outlineLevel="0" collapsed="false">
      <c r="A48" s="12" t="s">
        <v>651</v>
      </c>
      <c r="B48" s="12" t="s">
        <v>617</v>
      </c>
      <c r="C48" s="13" t="s">
        <v>652</v>
      </c>
      <c r="D48" s="14" t="s">
        <v>619</v>
      </c>
      <c r="E48" s="15"/>
      <c r="F48" s="15"/>
      <c r="G48" s="15"/>
      <c r="H48" s="15"/>
      <c r="I48" s="15"/>
      <c r="J48" s="15"/>
      <c r="K48" s="15"/>
      <c r="L48" s="15"/>
      <c r="M48" s="16" t="s">
        <v>66</v>
      </c>
      <c r="N48" s="17" t="n">
        <f aca="false">IFERROR(AVERAGE(N49:N50),"")</f>
        <v>0</v>
      </c>
      <c r="O48" s="14"/>
      <c r="P48" s="14" t="s">
        <v>653</v>
      </c>
      <c r="Q48" s="14" t="s">
        <v>654</v>
      </c>
    </row>
    <row r="49" customFormat="false" ht="15" hidden="false" customHeight="false" outlineLevel="0" collapsed="false">
      <c r="A49" s="6" t="s">
        <v>655</v>
      </c>
      <c r="B49" s="18" t="s">
        <v>617</v>
      </c>
      <c r="C49" s="6" t="s">
        <v>656</v>
      </c>
      <c r="E49" s="19" t="s">
        <v>657</v>
      </c>
      <c r="F49" s="20" t="s">
        <v>573</v>
      </c>
      <c r="G49" s="20" t="s">
        <v>74</v>
      </c>
      <c r="H49" s="22" t="n">
        <v>81</v>
      </c>
      <c r="I49" s="22" t="n">
        <v>85</v>
      </c>
      <c r="J49" s="22" t="n">
        <v>85</v>
      </c>
      <c r="K49" s="28" t="n">
        <v>87</v>
      </c>
      <c r="L49" s="18" t="s">
        <v>119</v>
      </c>
      <c r="M49" s="27" t="n">
        <v>85</v>
      </c>
      <c r="N49" s="25" t="n">
        <f aca="false">IF(AND(ISNUMBER(J49),ISNUMBER(K49),ISNUMBER(M49),K49&lt;&gt;J49),MAX(0,MIN(1,(M49-J49)/(K49-J49))),"")</f>
        <v>0</v>
      </c>
      <c r="O49" s="26"/>
      <c r="P49" s="6"/>
      <c r="Q49" s="6"/>
    </row>
    <row r="50" customFormat="false" ht="15" hidden="false" customHeight="false" outlineLevel="0" collapsed="false">
      <c r="A50" s="6" t="s">
        <v>658</v>
      </c>
      <c r="B50" s="18" t="s">
        <v>617</v>
      </c>
      <c r="C50" s="6" t="s">
        <v>659</v>
      </c>
      <c r="E50" s="19" t="s">
        <v>97</v>
      </c>
      <c r="F50" s="20" t="s">
        <v>93</v>
      </c>
      <c r="G50" s="20" t="s">
        <v>74</v>
      </c>
      <c r="H50" s="20" t="s">
        <v>97</v>
      </c>
      <c r="I50" s="20" t="s">
        <v>97</v>
      </c>
      <c r="J50" s="22" t="n">
        <v>0</v>
      </c>
      <c r="K50" s="29" t="n">
        <v>100</v>
      </c>
      <c r="L50" s="18" t="s">
        <v>98</v>
      </c>
      <c r="M50" s="30"/>
      <c r="N50" s="25" t="str">
        <f aca="false">IF(AND(ISNUMBER(J50),ISNUMBER(K50),ISNUMBER(M50),K50&lt;&gt;J50),MAX(0,MIN(1,(M50-J50)/(K50-J50))),"")</f>
        <v/>
      </c>
      <c r="O50" s="26"/>
      <c r="P50" s="6"/>
      <c r="Q50" s="6"/>
    </row>
    <row r="51" customFormat="false" ht="24" hidden="false" customHeight="true" outlineLevel="0" collapsed="false">
      <c r="A51" s="35" t="s">
        <v>660</v>
      </c>
      <c r="B51" s="34"/>
      <c r="C51" s="34"/>
      <c r="D51" s="34"/>
      <c r="E51" s="34"/>
      <c r="F51" s="34"/>
      <c r="G51" s="34"/>
      <c r="H51" s="34"/>
      <c r="I51" s="34"/>
      <c r="J51" s="34"/>
      <c r="K51" s="34"/>
      <c r="L51" s="34"/>
      <c r="M51" s="34"/>
      <c r="N51" s="34"/>
      <c r="O51" s="34"/>
      <c r="P51" s="34"/>
      <c r="Q51" s="34"/>
    </row>
    <row r="52" customFormat="false" ht="180.75" hidden="false" customHeight="true" outlineLevel="0" collapsed="false">
      <c r="A52" s="12" t="s">
        <v>661</v>
      </c>
      <c r="B52" s="12" t="s">
        <v>662</v>
      </c>
      <c r="C52" s="13" t="s">
        <v>663</v>
      </c>
      <c r="D52" s="14" t="s">
        <v>582</v>
      </c>
      <c r="E52" s="15"/>
      <c r="F52" s="15"/>
      <c r="G52" s="15"/>
      <c r="H52" s="15"/>
      <c r="I52" s="15"/>
      <c r="J52" s="15"/>
      <c r="K52" s="15"/>
      <c r="L52" s="15"/>
      <c r="M52" s="16" t="s">
        <v>66</v>
      </c>
      <c r="N52" s="17" t="str">
        <f aca="false">IFERROR(AVERAGE(N53:N54),"")</f>
        <v/>
      </c>
      <c r="O52" s="14"/>
      <c r="P52" s="14" t="s">
        <v>664</v>
      </c>
      <c r="Q52" s="14" t="s">
        <v>665</v>
      </c>
    </row>
    <row r="53" customFormat="false" ht="15" hidden="false" customHeight="false" outlineLevel="0" collapsed="false">
      <c r="A53" s="6" t="s">
        <v>666</v>
      </c>
      <c r="B53" s="18" t="s">
        <v>662</v>
      </c>
      <c r="C53" s="6" t="s">
        <v>667</v>
      </c>
      <c r="E53" s="19" t="s">
        <v>97</v>
      </c>
      <c r="F53" s="20" t="s">
        <v>93</v>
      </c>
      <c r="G53" s="20" t="s">
        <v>74</v>
      </c>
      <c r="H53" s="20" t="s">
        <v>97</v>
      </c>
      <c r="I53" s="20" t="s">
        <v>97</v>
      </c>
      <c r="J53" s="22" t="n">
        <v>0</v>
      </c>
      <c r="K53" s="29" t="n">
        <v>100</v>
      </c>
      <c r="L53" s="18" t="s">
        <v>98</v>
      </c>
      <c r="M53" s="30"/>
      <c r="N53" s="25" t="str">
        <f aca="false">IF(AND(ISNUMBER(J53),ISNUMBER(K53),ISNUMBER(M53),K53&lt;&gt;J53),MAX(0,MIN(1,(M53-J53)/(K53-J53))),"")</f>
        <v/>
      </c>
      <c r="O53" s="26"/>
      <c r="P53" s="6"/>
      <c r="Q53" s="6"/>
    </row>
    <row r="54" customFormat="false" ht="15" hidden="false" customHeight="false" outlineLevel="0" collapsed="false">
      <c r="A54" s="6" t="s">
        <v>668</v>
      </c>
      <c r="B54" s="18" t="s">
        <v>662</v>
      </c>
      <c r="C54" s="6" t="s">
        <v>669</v>
      </c>
      <c r="E54" s="19" t="s">
        <v>97</v>
      </c>
      <c r="F54" s="20" t="s">
        <v>79</v>
      </c>
      <c r="G54" s="20" t="s">
        <v>74</v>
      </c>
      <c r="H54" s="20" t="s">
        <v>97</v>
      </c>
      <c r="I54" s="20" t="s">
        <v>97</v>
      </c>
      <c r="J54" s="22" t="n">
        <v>0</v>
      </c>
      <c r="K54" s="29" t="n">
        <v>1</v>
      </c>
      <c r="L54" s="18" t="s">
        <v>98</v>
      </c>
      <c r="M54" s="30"/>
      <c r="N54" s="25" t="str">
        <f aca="false">IF(AND(ISNUMBER(J54),ISNUMBER(K54),ISNUMBER(M54),K54&lt;&gt;J54),MAX(0,MIN(1,(M54-J54)/(K54-J54))),"")</f>
        <v/>
      </c>
      <c r="O54" s="26"/>
      <c r="P54" s="6"/>
      <c r="Q54" s="6"/>
    </row>
    <row r="55" customFormat="false" ht="55.5" hidden="false" customHeight="true" outlineLevel="0" collapsed="false">
      <c r="A55" s="12" t="s">
        <v>670</v>
      </c>
      <c r="B55" s="12" t="s">
        <v>662</v>
      </c>
      <c r="C55" s="13" t="s">
        <v>671</v>
      </c>
      <c r="D55" s="14" t="s">
        <v>582</v>
      </c>
      <c r="E55" s="15"/>
      <c r="F55" s="15"/>
      <c r="G55" s="15"/>
      <c r="H55" s="15"/>
      <c r="I55" s="15"/>
      <c r="J55" s="15"/>
      <c r="K55" s="15"/>
      <c r="L55" s="15"/>
      <c r="M55" s="16" t="s">
        <v>66</v>
      </c>
      <c r="N55" s="17" t="str">
        <f aca="false">IFERROR(AVERAGE(N56:N57),"")</f>
        <v/>
      </c>
      <c r="O55" s="14"/>
      <c r="P55" s="14" t="s">
        <v>672</v>
      </c>
      <c r="Q55" s="14" t="s">
        <v>673</v>
      </c>
    </row>
    <row r="56" customFormat="false" ht="15" hidden="false" customHeight="false" outlineLevel="0" collapsed="false">
      <c r="A56" s="6" t="s">
        <v>674</v>
      </c>
      <c r="B56" s="18" t="s">
        <v>662</v>
      </c>
      <c r="C56" s="6" t="s">
        <v>675</v>
      </c>
      <c r="E56" s="19" t="s">
        <v>97</v>
      </c>
      <c r="F56" s="20" t="s">
        <v>93</v>
      </c>
      <c r="G56" s="20" t="s">
        <v>74</v>
      </c>
      <c r="H56" s="20" t="s">
        <v>97</v>
      </c>
      <c r="I56" s="20" t="s">
        <v>97</v>
      </c>
      <c r="J56" s="22" t="n">
        <v>0</v>
      </c>
      <c r="K56" s="29" t="n">
        <v>100</v>
      </c>
      <c r="L56" s="18" t="s">
        <v>98</v>
      </c>
      <c r="M56" s="30"/>
      <c r="N56" s="25" t="str">
        <f aca="false">IF(AND(ISNUMBER(J56),ISNUMBER(K56),ISNUMBER(M56),K56&lt;&gt;J56),MAX(0,MIN(1,(M56-J56)/(K56-J56))),"")</f>
        <v/>
      </c>
      <c r="O56" s="26"/>
      <c r="P56" s="6"/>
      <c r="Q56" s="6"/>
    </row>
    <row r="57" customFormat="false" ht="15" hidden="false" customHeight="false" outlineLevel="0" collapsed="false">
      <c r="A57" s="6" t="s">
        <v>676</v>
      </c>
      <c r="B57" s="18" t="s">
        <v>662</v>
      </c>
      <c r="C57" s="6" t="s">
        <v>677</v>
      </c>
      <c r="E57" s="19" t="s">
        <v>97</v>
      </c>
      <c r="F57" s="20" t="s">
        <v>93</v>
      </c>
      <c r="G57" s="20" t="s">
        <v>74</v>
      </c>
      <c r="H57" s="20" t="s">
        <v>97</v>
      </c>
      <c r="I57" s="20" t="s">
        <v>97</v>
      </c>
      <c r="J57" s="22" t="n">
        <v>0</v>
      </c>
      <c r="K57" s="29" t="n">
        <v>100</v>
      </c>
      <c r="L57" s="18" t="s">
        <v>98</v>
      </c>
      <c r="M57" s="30"/>
      <c r="N57" s="25" t="str">
        <f aca="false">IF(AND(ISNUMBER(J57),ISNUMBER(K57),ISNUMBER(M57),K57&lt;&gt;J57),MAX(0,MIN(1,(M57-J57)/(K57-J57))),"")</f>
        <v/>
      </c>
      <c r="O57" s="26"/>
      <c r="P57" s="6"/>
      <c r="Q57" s="6"/>
    </row>
    <row r="58" customFormat="false" ht="55.5" hidden="false" customHeight="true" outlineLevel="0" collapsed="false">
      <c r="A58" s="12" t="s">
        <v>678</v>
      </c>
      <c r="B58" s="12" t="s">
        <v>662</v>
      </c>
      <c r="C58" s="13" t="s">
        <v>679</v>
      </c>
      <c r="D58" s="14" t="s">
        <v>619</v>
      </c>
      <c r="E58" s="15"/>
      <c r="F58" s="15"/>
      <c r="G58" s="15"/>
      <c r="H58" s="15"/>
      <c r="I58" s="15"/>
      <c r="J58" s="15"/>
      <c r="K58" s="15"/>
      <c r="L58" s="15"/>
      <c r="M58" s="16" t="s">
        <v>66</v>
      </c>
      <c r="N58" s="17" t="str">
        <f aca="false">IFERROR(AVERAGE(N59:N60),"")</f>
        <v/>
      </c>
      <c r="O58" s="14"/>
      <c r="P58" s="14" t="s">
        <v>680</v>
      </c>
      <c r="Q58" s="14" t="s">
        <v>681</v>
      </c>
    </row>
    <row r="59" customFormat="false" ht="15" hidden="false" customHeight="false" outlineLevel="0" collapsed="false">
      <c r="A59" s="6" t="s">
        <v>682</v>
      </c>
      <c r="B59" s="18" t="s">
        <v>662</v>
      </c>
      <c r="C59" s="6" t="s">
        <v>683</v>
      </c>
      <c r="E59" s="19" t="s">
        <v>97</v>
      </c>
      <c r="F59" s="20" t="s">
        <v>93</v>
      </c>
      <c r="G59" s="20" t="s">
        <v>74</v>
      </c>
      <c r="H59" s="20" t="s">
        <v>97</v>
      </c>
      <c r="I59" s="20" t="s">
        <v>97</v>
      </c>
      <c r="J59" s="22" t="n">
        <v>0</v>
      </c>
      <c r="K59" s="29" t="n">
        <v>90</v>
      </c>
      <c r="L59" s="18" t="s">
        <v>98</v>
      </c>
      <c r="M59" s="30"/>
      <c r="N59" s="25" t="str">
        <f aca="false">IF(AND(ISNUMBER(J59),ISNUMBER(K59),ISNUMBER(M59),K59&lt;&gt;J59),MAX(0,MIN(1,(M59-J59)/(K59-J59))),"")</f>
        <v/>
      </c>
      <c r="O59" s="26"/>
      <c r="P59" s="6"/>
      <c r="Q59" s="6"/>
    </row>
    <row r="60" customFormat="false" ht="15" hidden="false" customHeight="false" outlineLevel="0" collapsed="false">
      <c r="A60" s="6" t="s">
        <v>684</v>
      </c>
      <c r="B60" s="18" t="s">
        <v>662</v>
      </c>
      <c r="C60" s="6" t="s">
        <v>685</v>
      </c>
      <c r="E60" s="19" t="s">
        <v>97</v>
      </c>
      <c r="F60" s="20" t="s">
        <v>93</v>
      </c>
      <c r="G60" s="20" t="s">
        <v>74</v>
      </c>
      <c r="H60" s="20" t="s">
        <v>97</v>
      </c>
      <c r="I60" s="20" t="s">
        <v>97</v>
      </c>
      <c r="J60" s="22" t="n">
        <v>0</v>
      </c>
      <c r="K60" s="29" t="n">
        <v>80</v>
      </c>
      <c r="L60" s="18" t="s">
        <v>98</v>
      </c>
      <c r="M60" s="30"/>
      <c r="N60" s="25" t="str">
        <f aca="false">IF(AND(ISNUMBER(J60),ISNUMBER(K60),ISNUMBER(M60),K60&lt;&gt;J60),MAX(0,MIN(1,(M60-J60)/(K60-J60))),"")</f>
        <v/>
      </c>
      <c r="O60" s="26"/>
      <c r="P60" s="6"/>
      <c r="Q60" s="6"/>
    </row>
    <row r="61" customFormat="false" ht="24" hidden="false" customHeight="true" outlineLevel="0" collapsed="false">
      <c r="A61" s="35" t="s">
        <v>686</v>
      </c>
      <c r="B61" s="34"/>
      <c r="C61" s="34"/>
      <c r="D61" s="34"/>
      <c r="E61" s="34"/>
      <c r="F61" s="34"/>
      <c r="G61" s="34"/>
      <c r="H61" s="34"/>
      <c r="I61" s="34"/>
      <c r="J61" s="34"/>
      <c r="K61" s="34"/>
      <c r="L61" s="34"/>
      <c r="M61" s="34"/>
      <c r="N61" s="34"/>
      <c r="O61" s="34"/>
      <c r="P61" s="34"/>
      <c r="Q61" s="34"/>
    </row>
    <row r="62" customFormat="false" ht="55.5" hidden="false" customHeight="true" outlineLevel="0" collapsed="false">
      <c r="A62" s="12" t="s">
        <v>687</v>
      </c>
      <c r="B62" s="12" t="s">
        <v>688</v>
      </c>
      <c r="C62" s="13" t="s">
        <v>689</v>
      </c>
      <c r="D62" s="14" t="s">
        <v>582</v>
      </c>
      <c r="E62" s="15"/>
      <c r="F62" s="15"/>
      <c r="G62" s="15"/>
      <c r="H62" s="15"/>
      <c r="I62" s="15"/>
      <c r="J62" s="15"/>
      <c r="K62" s="15"/>
      <c r="L62" s="15"/>
      <c r="M62" s="16" t="s">
        <v>66</v>
      </c>
      <c r="N62" s="17" t="str">
        <f aca="false">IFERROR(AVERAGE(N63:N64),"")</f>
        <v/>
      </c>
      <c r="O62" s="14"/>
      <c r="P62" s="14" t="s">
        <v>690</v>
      </c>
      <c r="Q62" s="14"/>
    </row>
    <row r="63" customFormat="false" ht="15" hidden="false" customHeight="false" outlineLevel="0" collapsed="false">
      <c r="A63" s="6" t="s">
        <v>691</v>
      </c>
      <c r="B63" s="18" t="s">
        <v>688</v>
      </c>
      <c r="C63" s="6" t="s">
        <v>692</v>
      </c>
      <c r="E63" s="19" t="s">
        <v>97</v>
      </c>
      <c r="F63" s="20" t="s">
        <v>93</v>
      </c>
      <c r="G63" s="20" t="s">
        <v>74</v>
      </c>
      <c r="H63" s="20" t="s">
        <v>97</v>
      </c>
      <c r="I63" s="20" t="s">
        <v>97</v>
      </c>
      <c r="J63" s="22" t="n">
        <v>0</v>
      </c>
      <c r="K63" s="29" t="n">
        <v>100</v>
      </c>
      <c r="L63" s="18" t="s">
        <v>98</v>
      </c>
      <c r="M63" s="30"/>
      <c r="N63" s="25" t="str">
        <f aca="false">IF(AND(ISNUMBER(J63),ISNUMBER(K63),ISNUMBER(M63),K63&lt;&gt;J63),MAX(0,MIN(1,(M63-J63)/(K63-J63))),"")</f>
        <v/>
      </c>
      <c r="O63" s="26"/>
      <c r="P63" s="6"/>
      <c r="Q63" s="6"/>
    </row>
    <row r="64" customFormat="false" ht="15" hidden="false" customHeight="false" outlineLevel="0" collapsed="false">
      <c r="A64" s="6" t="s">
        <v>693</v>
      </c>
      <c r="B64" s="18" t="s">
        <v>688</v>
      </c>
      <c r="C64" s="6" t="s">
        <v>694</v>
      </c>
      <c r="E64" s="19" t="s">
        <v>97</v>
      </c>
      <c r="F64" s="20" t="s">
        <v>93</v>
      </c>
      <c r="G64" s="20" t="s">
        <v>74</v>
      </c>
      <c r="H64" s="20" t="s">
        <v>97</v>
      </c>
      <c r="I64" s="20" t="s">
        <v>97</v>
      </c>
      <c r="J64" s="22" t="n">
        <v>0</v>
      </c>
      <c r="K64" s="29" t="n">
        <v>100</v>
      </c>
      <c r="L64" s="18" t="s">
        <v>98</v>
      </c>
      <c r="M64" s="30"/>
      <c r="N64" s="25" t="str">
        <f aca="false">IF(AND(ISNUMBER(J64),ISNUMBER(K64),ISNUMBER(M64),K64&lt;&gt;J64),MAX(0,MIN(1,(M64-J64)/(K64-J64))),"")</f>
        <v/>
      </c>
      <c r="O64" s="26"/>
      <c r="P64" s="6"/>
      <c r="Q64" s="6"/>
    </row>
    <row r="65" customFormat="false" ht="156" hidden="false" customHeight="true" outlineLevel="0" collapsed="false">
      <c r="A65" s="12" t="s">
        <v>695</v>
      </c>
      <c r="B65" s="12" t="s">
        <v>688</v>
      </c>
      <c r="C65" s="13" t="s">
        <v>696</v>
      </c>
      <c r="D65" s="14" t="s">
        <v>582</v>
      </c>
      <c r="E65" s="15"/>
      <c r="F65" s="15"/>
      <c r="G65" s="15"/>
      <c r="H65" s="15"/>
      <c r="I65" s="15"/>
      <c r="J65" s="15"/>
      <c r="K65" s="15"/>
      <c r="L65" s="15"/>
      <c r="M65" s="16" t="s">
        <v>66</v>
      </c>
      <c r="N65" s="17" t="str">
        <f aca="false">IFERROR(AVERAGE(N66:N68),"")</f>
        <v/>
      </c>
      <c r="O65" s="14"/>
      <c r="P65" s="14" t="s">
        <v>697</v>
      </c>
      <c r="Q65" s="14" t="s">
        <v>698</v>
      </c>
    </row>
    <row r="66" customFormat="false" ht="15" hidden="false" customHeight="false" outlineLevel="0" collapsed="false">
      <c r="A66" s="6" t="s">
        <v>699</v>
      </c>
      <c r="B66" s="18" t="s">
        <v>688</v>
      </c>
      <c r="C66" s="6" t="s">
        <v>700</v>
      </c>
      <c r="E66" s="19" t="s">
        <v>97</v>
      </c>
      <c r="F66" s="20" t="s">
        <v>93</v>
      </c>
      <c r="G66" s="20" t="s">
        <v>74</v>
      </c>
      <c r="H66" s="20" t="s">
        <v>97</v>
      </c>
      <c r="I66" s="20" t="s">
        <v>97</v>
      </c>
      <c r="J66" s="22" t="n">
        <v>0</v>
      </c>
      <c r="K66" s="29" t="n">
        <v>100</v>
      </c>
      <c r="L66" s="18" t="s">
        <v>98</v>
      </c>
      <c r="M66" s="30"/>
      <c r="N66" s="25" t="str">
        <f aca="false">IF(AND(ISNUMBER(J66),ISNUMBER(K66),ISNUMBER(M66),K66&lt;&gt;J66),MAX(0,MIN(1,(M66-J66)/(K66-J66))),"")</f>
        <v/>
      </c>
      <c r="O66" s="26"/>
      <c r="P66" s="6"/>
      <c r="Q66" s="6"/>
    </row>
    <row r="67" customFormat="false" ht="15" hidden="false" customHeight="false" outlineLevel="0" collapsed="false">
      <c r="A67" s="6" t="s">
        <v>701</v>
      </c>
      <c r="B67" s="18" t="s">
        <v>688</v>
      </c>
      <c r="C67" s="6" t="s">
        <v>702</v>
      </c>
      <c r="E67" s="19" t="s">
        <v>97</v>
      </c>
      <c r="F67" s="20" t="s">
        <v>79</v>
      </c>
      <c r="G67" s="20" t="s">
        <v>74</v>
      </c>
      <c r="H67" s="20" t="s">
        <v>97</v>
      </c>
      <c r="I67" s="20" t="s">
        <v>97</v>
      </c>
      <c r="J67" s="22" t="n">
        <v>0</v>
      </c>
      <c r="K67" s="29" t="n">
        <v>2</v>
      </c>
      <c r="L67" s="18" t="s">
        <v>98</v>
      </c>
      <c r="M67" s="30"/>
      <c r="N67" s="25" t="str">
        <f aca="false">IF(AND(ISNUMBER(J67),ISNUMBER(K67),ISNUMBER(M67),K67&lt;&gt;J67),MAX(0,MIN(1,(M67-J67)/(K67-J67))),"")</f>
        <v/>
      </c>
      <c r="O67" s="26"/>
      <c r="P67" s="6"/>
      <c r="Q67" s="6"/>
    </row>
    <row r="68" customFormat="false" ht="15" hidden="false" customHeight="false" outlineLevel="0" collapsed="false">
      <c r="A68" s="6" t="s">
        <v>703</v>
      </c>
      <c r="B68" s="18" t="s">
        <v>688</v>
      </c>
      <c r="C68" s="6" t="s">
        <v>704</v>
      </c>
      <c r="E68" s="19" t="s">
        <v>97</v>
      </c>
      <c r="F68" s="20" t="s">
        <v>79</v>
      </c>
      <c r="G68" s="20" t="s">
        <v>118</v>
      </c>
      <c r="H68" s="20" t="s">
        <v>97</v>
      </c>
      <c r="I68" s="20" t="s">
        <v>97</v>
      </c>
      <c r="J68" s="20" t="s">
        <v>97</v>
      </c>
      <c r="K68" s="29" t="n">
        <v>0</v>
      </c>
      <c r="L68" s="18" t="s">
        <v>98</v>
      </c>
      <c r="M68" s="30"/>
      <c r="N68" s="25" t="str">
        <f aca="false">IF(AND(ISNUMBER(J68),ISNUMBER(K68),ISNUMBER(M68),K68&lt;&gt;J68),MAX(0,MIN(1,(M68-J68)/(K68-J68))),"")</f>
        <v/>
      </c>
      <c r="O68" s="26"/>
      <c r="P68" s="6"/>
      <c r="Q68" s="6"/>
    </row>
    <row r="69" customFormat="false" ht="45" hidden="false" customHeight="true" outlineLevel="0" collapsed="false">
      <c r="A69" s="12" t="s">
        <v>705</v>
      </c>
      <c r="B69" s="12" t="s">
        <v>688</v>
      </c>
      <c r="C69" s="13" t="s">
        <v>706</v>
      </c>
      <c r="D69" s="14" t="s">
        <v>582</v>
      </c>
      <c r="E69" s="15"/>
      <c r="F69" s="15"/>
      <c r="G69" s="15"/>
      <c r="H69" s="15"/>
      <c r="I69" s="15"/>
      <c r="J69" s="15"/>
      <c r="K69" s="15"/>
      <c r="L69" s="15"/>
      <c r="M69" s="16" t="s">
        <v>66</v>
      </c>
      <c r="N69" s="17" t="str">
        <f aca="false">IFERROR(AVERAGE(N70:N71),"")</f>
        <v/>
      </c>
      <c r="O69" s="14"/>
      <c r="P69" s="14" t="s">
        <v>707</v>
      </c>
      <c r="Q69" s="14" t="s">
        <v>708</v>
      </c>
    </row>
    <row r="70" customFormat="false" ht="15" hidden="false" customHeight="false" outlineLevel="0" collapsed="false">
      <c r="A70" s="6" t="s">
        <v>709</v>
      </c>
      <c r="B70" s="18" t="s">
        <v>688</v>
      </c>
      <c r="C70" s="6" t="s">
        <v>710</v>
      </c>
      <c r="E70" s="19" t="s">
        <v>97</v>
      </c>
      <c r="F70" s="20" t="s">
        <v>93</v>
      </c>
      <c r="G70" s="20" t="s">
        <v>74</v>
      </c>
      <c r="H70" s="20" t="s">
        <v>97</v>
      </c>
      <c r="I70" s="20" t="s">
        <v>97</v>
      </c>
      <c r="J70" s="22" t="n">
        <v>0</v>
      </c>
      <c r="K70" s="29" t="n">
        <v>80</v>
      </c>
      <c r="L70" s="18" t="s">
        <v>98</v>
      </c>
      <c r="M70" s="30"/>
      <c r="N70" s="25" t="str">
        <f aca="false">IF(AND(ISNUMBER(J70),ISNUMBER(K70),ISNUMBER(M70),K70&lt;&gt;J70),MAX(0,MIN(1,(M70-J70)/(K70-J70))),"")</f>
        <v/>
      </c>
      <c r="O70" s="26"/>
      <c r="P70" s="6"/>
      <c r="Q70" s="6"/>
    </row>
    <row r="71" customFormat="false" ht="15" hidden="false" customHeight="false" outlineLevel="0" collapsed="false">
      <c r="A71" s="6" t="s">
        <v>711</v>
      </c>
      <c r="B71" s="18" t="s">
        <v>688</v>
      </c>
      <c r="C71" s="6" t="s">
        <v>712</v>
      </c>
      <c r="E71" s="19" t="s">
        <v>97</v>
      </c>
      <c r="F71" s="20" t="s">
        <v>79</v>
      </c>
      <c r="G71" s="20" t="s">
        <v>74</v>
      </c>
      <c r="H71" s="20" t="s">
        <v>97</v>
      </c>
      <c r="I71" s="20" t="s">
        <v>97</v>
      </c>
      <c r="J71" s="22" t="n">
        <v>0</v>
      </c>
      <c r="K71" s="29" t="n">
        <v>4</v>
      </c>
      <c r="L71" s="18" t="s">
        <v>98</v>
      </c>
      <c r="M71" s="30"/>
      <c r="N71" s="25" t="str">
        <f aca="false">IF(AND(ISNUMBER(J71),ISNUMBER(K71),ISNUMBER(M71),K71&lt;&gt;J71),MAX(0,MIN(1,(M71-J71)/(K71-J71))),"")</f>
        <v/>
      </c>
      <c r="O71" s="26"/>
      <c r="P71" s="6"/>
      <c r="Q71" s="6"/>
    </row>
    <row r="72" customFormat="false" ht="24" hidden="false" customHeight="true" outlineLevel="0" collapsed="false">
      <c r="A72" s="35" t="s">
        <v>713</v>
      </c>
      <c r="B72" s="34"/>
      <c r="C72" s="34"/>
      <c r="D72" s="34"/>
      <c r="E72" s="34"/>
      <c r="F72" s="34"/>
      <c r="G72" s="34"/>
      <c r="H72" s="34"/>
      <c r="I72" s="34"/>
      <c r="J72" s="34"/>
      <c r="K72" s="34"/>
      <c r="L72" s="34"/>
      <c r="M72" s="34"/>
      <c r="N72" s="34"/>
      <c r="O72" s="34"/>
      <c r="P72" s="34"/>
      <c r="Q72" s="34"/>
    </row>
    <row r="73" customFormat="false" ht="81" hidden="false" customHeight="true" outlineLevel="0" collapsed="false">
      <c r="A73" s="12" t="s">
        <v>714</v>
      </c>
      <c r="B73" s="12" t="s">
        <v>715</v>
      </c>
      <c r="C73" s="13" t="s">
        <v>716</v>
      </c>
      <c r="D73" s="14" t="s">
        <v>582</v>
      </c>
      <c r="E73" s="15"/>
      <c r="F73" s="15"/>
      <c r="G73" s="15"/>
      <c r="H73" s="15"/>
      <c r="I73" s="15"/>
      <c r="J73" s="15"/>
      <c r="K73" s="15"/>
      <c r="L73" s="15"/>
      <c r="M73" s="16" t="s">
        <v>66</v>
      </c>
      <c r="N73" s="17" t="str">
        <f aca="false">IFERROR(AVERAGE(N74:N75),"")</f>
        <v/>
      </c>
      <c r="O73" s="14"/>
      <c r="P73" s="14" t="s">
        <v>717</v>
      </c>
      <c r="Q73" s="14" t="s">
        <v>673</v>
      </c>
    </row>
    <row r="74" customFormat="false" ht="15" hidden="false" customHeight="false" outlineLevel="0" collapsed="false">
      <c r="A74" s="6" t="s">
        <v>718</v>
      </c>
      <c r="B74" s="18" t="s">
        <v>715</v>
      </c>
      <c r="C74" s="6" t="s">
        <v>719</v>
      </c>
      <c r="E74" s="19" t="s">
        <v>97</v>
      </c>
      <c r="F74" s="20" t="s">
        <v>93</v>
      </c>
      <c r="G74" s="20" t="s">
        <v>74</v>
      </c>
      <c r="H74" s="20" t="s">
        <v>97</v>
      </c>
      <c r="I74" s="20" t="s">
        <v>97</v>
      </c>
      <c r="J74" s="22" t="n">
        <v>0</v>
      </c>
      <c r="K74" s="29" t="n">
        <v>100</v>
      </c>
      <c r="L74" s="18" t="s">
        <v>98</v>
      </c>
      <c r="M74" s="30"/>
      <c r="N74" s="25" t="str">
        <f aca="false">IF(AND(ISNUMBER(J74),ISNUMBER(K74),ISNUMBER(M74),K74&lt;&gt;J74),MAX(0,MIN(1,(M74-J74)/(K74-J74))),"")</f>
        <v/>
      </c>
      <c r="O74" s="26"/>
      <c r="P74" s="6"/>
      <c r="Q74" s="6"/>
    </row>
    <row r="75" customFormat="false" ht="15" hidden="false" customHeight="false" outlineLevel="0" collapsed="false">
      <c r="A75" s="6" t="s">
        <v>720</v>
      </c>
      <c r="B75" s="18" t="s">
        <v>715</v>
      </c>
      <c r="C75" s="6" t="s">
        <v>721</v>
      </c>
      <c r="E75" s="19" t="s">
        <v>97</v>
      </c>
      <c r="F75" s="20" t="s">
        <v>117</v>
      </c>
      <c r="G75" s="20" t="s">
        <v>118</v>
      </c>
      <c r="H75" s="20" t="s">
        <v>97</v>
      </c>
      <c r="I75" s="20" t="s">
        <v>97</v>
      </c>
      <c r="J75" s="20" t="s">
        <v>97</v>
      </c>
      <c r="K75" s="29" t="n">
        <v>30</v>
      </c>
      <c r="L75" s="18" t="s">
        <v>98</v>
      </c>
      <c r="M75" s="30"/>
      <c r="N75" s="25" t="str">
        <f aca="false">IF(AND(ISNUMBER(J75),ISNUMBER(K75),ISNUMBER(M75),K75&lt;&gt;J75),MAX(0,MIN(1,(M75-J75)/(K75-J75))),"")</f>
        <v/>
      </c>
      <c r="O75" s="26"/>
      <c r="P75" s="6"/>
      <c r="Q75" s="6"/>
    </row>
    <row r="76" customFormat="false" ht="68.25" hidden="false" customHeight="true" outlineLevel="0" collapsed="false">
      <c r="A76" s="12" t="s">
        <v>722</v>
      </c>
      <c r="B76" s="12" t="s">
        <v>715</v>
      </c>
      <c r="C76" s="13" t="s">
        <v>723</v>
      </c>
      <c r="D76" s="14" t="s">
        <v>582</v>
      </c>
      <c r="E76" s="15"/>
      <c r="F76" s="15"/>
      <c r="G76" s="15"/>
      <c r="H76" s="15"/>
      <c r="I76" s="15"/>
      <c r="J76" s="15"/>
      <c r="K76" s="15"/>
      <c r="L76" s="15"/>
      <c r="M76" s="16" t="s">
        <v>66</v>
      </c>
      <c r="N76" s="17" t="str">
        <f aca="false">IFERROR(AVERAGE(N77:N78),"")</f>
        <v/>
      </c>
      <c r="O76" s="14"/>
      <c r="P76" s="14" t="s">
        <v>724</v>
      </c>
      <c r="Q76" s="14" t="s">
        <v>725</v>
      </c>
    </row>
    <row r="77" customFormat="false" ht="15" hidden="false" customHeight="false" outlineLevel="0" collapsed="false">
      <c r="A77" s="6" t="s">
        <v>726</v>
      </c>
      <c r="B77" s="18" t="s">
        <v>715</v>
      </c>
      <c r="C77" s="6" t="s">
        <v>727</v>
      </c>
      <c r="E77" s="19" t="s">
        <v>97</v>
      </c>
      <c r="F77" s="20" t="s">
        <v>79</v>
      </c>
      <c r="G77" s="20" t="s">
        <v>74</v>
      </c>
      <c r="H77" s="20" t="s">
        <v>97</v>
      </c>
      <c r="I77" s="20" t="s">
        <v>97</v>
      </c>
      <c r="J77" s="22" t="n">
        <v>0</v>
      </c>
      <c r="K77" s="29" t="n">
        <v>2</v>
      </c>
      <c r="L77" s="18" t="s">
        <v>98</v>
      </c>
      <c r="M77" s="30"/>
      <c r="N77" s="25" t="str">
        <f aca="false">IF(AND(ISNUMBER(J77),ISNUMBER(K77),ISNUMBER(M77),K77&lt;&gt;J77),MAX(0,MIN(1,(M77-J77)/(K77-J77))),"")</f>
        <v/>
      </c>
      <c r="O77" s="26"/>
      <c r="P77" s="6"/>
      <c r="Q77" s="6"/>
    </row>
    <row r="78" customFormat="false" ht="15" hidden="false" customHeight="false" outlineLevel="0" collapsed="false">
      <c r="A78" s="6" t="s">
        <v>728</v>
      </c>
      <c r="B78" s="18" t="s">
        <v>715</v>
      </c>
      <c r="C78" s="6" t="s">
        <v>729</v>
      </c>
      <c r="E78" s="19" t="s">
        <v>97</v>
      </c>
      <c r="F78" s="20" t="s">
        <v>93</v>
      </c>
      <c r="G78" s="20" t="s">
        <v>74</v>
      </c>
      <c r="H78" s="20" t="s">
        <v>97</v>
      </c>
      <c r="I78" s="20" t="s">
        <v>97</v>
      </c>
      <c r="J78" s="22" t="n">
        <v>0</v>
      </c>
      <c r="K78" s="29" t="n">
        <v>100</v>
      </c>
      <c r="L78" s="18" t="s">
        <v>98</v>
      </c>
      <c r="M78" s="30"/>
      <c r="N78" s="25" t="str">
        <f aca="false">IF(AND(ISNUMBER(J78),ISNUMBER(K78),ISNUMBER(M78),K78&lt;&gt;J78),MAX(0,MIN(1,(M78-J78)/(K78-J78))),"")</f>
        <v/>
      </c>
      <c r="O78" s="26"/>
      <c r="P78" s="6"/>
      <c r="Q78" s="6"/>
    </row>
    <row r="79" customFormat="false" ht="45" hidden="false" customHeight="true" outlineLevel="0" collapsed="false">
      <c r="A79" s="12" t="s">
        <v>730</v>
      </c>
      <c r="B79" s="12" t="s">
        <v>715</v>
      </c>
      <c r="C79" s="13" t="s">
        <v>731</v>
      </c>
      <c r="D79" s="14" t="s">
        <v>582</v>
      </c>
      <c r="E79" s="15"/>
      <c r="F79" s="15"/>
      <c r="G79" s="15"/>
      <c r="H79" s="15"/>
      <c r="I79" s="15"/>
      <c r="J79" s="15"/>
      <c r="K79" s="15"/>
      <c r="L79" s="15"/>
      <c r="M79" s="16" t="s">
        <v>66</v>
      </c>
      <c r="N79" s="17" t="str">
        <f aca="false">IFERROR(AVERAGE(N80:N81),"")</f>
        <v/>
      </c>
      <c r="O79" s="14"/>
      <c r="P79" s="14" t="s">
        <v>732</v>
      </c>
      <c r="Q79" s="14"/>
    </row>
    <row r="80" customFormat="false" ht="15" hidden="false" customHeight="false" outlineLevel="0" collapsed="false">
      <c r="A80" s="6" t="s">
        <v>733</v>
      </c>
      <c r="B80" s="18" t="s">
        <v>715</v>
      </c>
      <c r="C80" s="6" t="s">
        <v>734</v>
      </c>
      <c r="E80" s="19" t="s">
        <v>97</v>
      </c>
      <c r="F80" s="20" t="s">
        <v>93</v>
      </c>
      <c r="G80" s="20" t="s">
        <v>74</v>
      </c>
      <c r="H80" s="20" t="s">
        <v>97</v>
      </c>
      <c r="I80" s="20" t="s">
        <v>97</v>
      </c>
      <c r="J80" s="22" t="n">
        <v>0</v>
      </c>
      <c r="K80" s="29" t="n">
        <v>100</v>
      </c>
      <c r="L80" s="18" t="s">
        <v>98</v>
      </c>
      <c r="M80" s="30"/>
      <c r="N80" s="25" t="str">
        <f aca="false">IF(AND(ISNUMBER(J80),ISNUMBER(K80),ISNUMBER(M80),K80&lt;&gt;J80),MAX(0,MIN(1,(M80-J80)/(K80-J80))),"")</f>
        <v/>
      </c>
      <c r="O80" s="26"/>
      <c r="P80" s="6"/>
      <c r="Q80" s="6"/>
    </row>
    <row r="81" customFormat="false" ht="15" hidden="false" customHeight="false" outlineLevel="0" collapsed="false">
      <c r="A81" s="6" t="s">
        <v>735</v>
      </c>
      <c r="B81" s="18" t="s">
        <v>715</v>
      </c>
      <c r="C81" s="6" t="s">
        <v>736</v>
      </c>
      <c r="E81" s="19" t="s">
        <v>97</v>
      </c>
      <c r="F81" s="20" t="s">
        <v>93</v>
      </c>
      <c r="G81" s="20" t="s">
        <v>74</v>
      </c>
      <c r="H81" s="20" t="s">
        <v>97</v>
      </c>
      <c r="I81" s="20" t="s">
        <v>97</v>
      </c>
      <c r="J81" s="22" t="n">
        <v>0</v>
      </c>
      <c r="K81" s="29" t="n">
        <v>98</v>
      </c>
      <c r="L81" s="18" t="s">
        <v>98</v>
      </c>
      <c r="M81" s="30"/>
      <c r="N81" s="25" t="str">
        <f aca="false">IF(AND(ISNUMBER(J81),ISNUMBER(K81),ISNUMBER(M81),K81&lt;&gt;J81),MAX(0,MIN(1,(M81-J81)/(K81-J81))),"")</f>
        <v/>
      </c>
      <c r="O81" s="26"/>
      <c r="P81" s="6"/>
      <c r="Q81" s="6"/>
    </row>
    <row r="82" customFormat="false" ht="45" hidden="false" customHeight="true" outlineLevel="0" collapsed="false">
      <c r="A82" s="12" t="s">
        <v>737</v>
      </c>
      <c r="B82" s="12" t="s">
        <v>715</v>
      </c>
      <c r="C82" s="13" t="s">
        <v>738</v>
      </c>
      <c r="D82" s="14" t="s">
        <v>582</v>
      </c>
      <c r="E82" s="15"/>
      <c r="F82" s="15"/>
      <c r="G82" s="15"/>
      <c r="H82" s="15"/>
      <c r="I82" s="15"/>
      <c r="J82" s="15"/>
      <c r="K82" s="15"/>
      <c r="L82" s="15"/>
      <c r="M82" s="16" t="s">
        <v>66</v>
      </c>
      <c r="N82" s="17" t="str">
        <f aca="false">IFERROR(AVERAGE(N83:N84),"")</f>
        <v/>
      </c>
      <c r="O82" s="14"/>
      <c r="P82" s="14" t="s">
        <v>739</v>
      </c>
      <c r="Q82" s="14"/>
    </row>
    <row r="83" customFormat="false" ht="15" hidden="false" customHeight="false" outlineLevel="0" collapsed="false">
      <c r="A83" s="6" t="s">
        <v>740</v>
      </c>
      <c r="B83" s="18" t="s">
        <v>715</v>
      </c>
      <c r="C83" s="6" t="s">
        <v>741</v>
      </c>
      <c r="E83" s="19" t="s">
        <v>97</v>
      </c>
      <c r="F83" s="20" t="s">
        <v>93</v>
      </c>
      <c r="G83" s="20" t="s">
        <v>74</v>
      </c>
      <c r="H83" s="20" t="s">
        <v>97</v>
      </c>
      <c r="I83" s="20" t="s">
        <v>97</v>
      </c>
      <c r="J83" s="22" t="n">
        <v>0</v>
      </c>
      <c r="K83" s="29" t="n">
        <v>90</v>
      </c>
      <c r="L83" s="18" t="s">
        <v>98</v>
      </c>
      <c r="M83" s="30"/>
      <c r="N83" s="25" t="str">
        <f aca="false">IF(AND(ISNUMBER(J83),ISNUMBER(K83),ISNUMBER(M83),K83&lt;&gt;J83),MAX(0,MIN(1,(M83-J83)/(K83-J83))),"")</f>
        <v/>
      </c>
      <c r="O83" s="26"/>
      <c r="P83" s="6"/>
      <c r="Q83" s="6"/>
    </row>
    <row r="84" customFormat="false" ht="15" hidden="false" customHeight="false" outlineLevel="0" collapsed="false">
      <c r="A84" s="6" t="s">
        <v>742</v>
      </c>
      <c r="B84" s="18" t="s">
        <v>715</v>
      </c>
      <c r="C84" s="6" t="s">
        <v>743</v>
      </c>
      <c r="E84" s="19" t="s">
        <v>97</v>
      </c>
      <c r="F84" s="20" t="s">
        <v>93</v>
      </c>
      <c r="G84" s="20" t="s">
        <v>74</v>
      </c>
      <c r="H84" s="20" t="s">
        <v>97</v>
      </c>
      <c r="I84" s="20" t="s">
        <v>97</v>
      </c>
      <c r="J84" s="22" t="n">
        <v>0</v>
      </c>
      <c r="K84" s="29" t="n">
        <v>100</v>
      </c>
      <c r="L84" s="18" t="s">
        <v>98</v>
      </c>
      <c r="M84" s="30"/>
      <c r="N84" s="25" t="str">
        <f aca="false">IF(AND(ISNUMBER(J84),ISNUMBER(K84),ISNUMBER(M84),K84&lt;&gt;J84),MAX(0,MIN(1,(M84-J84)/(K84-J84))),"")</f>
        <v/>
      </c>
      <c r="O84" s="26"/>
      <c r="P84" s="6"/>
      <c r="Q84" s="6"/>
    </row>
    <row r="85" customFormat="false" ht="24" hidden="false" customHeight="true" outlineLevel="0" collapsed="false">
      <c r="A85" s="35" t="s">
        <v>744</v>
      </c>
      <c r="B85" s="34"/>
      <c r="C85" s="34"/>
      <c r="D85" s="34"/>
      <c r="E85" s="34"/>
      <c r="F85" s="34"/>
      <c r="G85" s="34"/>
      <c r="H85" s="34"/>
      <c r="I85" s="34"/>
      <c r="J85" s="34"/>
      <c r="K85" s="34"/>
      <c r="L85" s="34"/>
      <c r="M85" s="34"/>
      <c r="N85" s="34"/>
      <c r="O85" s="34"/>
      <c r="P85" s="34"/>
      <c r="Q85" s="34"/>
    </row>
    <row r="86" customFormat="false" ht="193.5" hidden="false" customHeight="true" outlineLevel="0" collapsed="false">
      <c r="A86" s="12" t="s">
        <v>745</v>
      </c>
      <c r="B86" s="12" t="s">
        <v>746</v>
      </c>
      <c r="C86" s="13" t="s">
        <v>747</v>
      </c>
      <c r="D86" s="14" t="s">
        <v>748</v>
      </c>
      <c r="E86" s="15"/>
      <c r="F86" s="15"/>
      <c r="G86" s="15"/>
      <c r="H86" s="15"/>
      <c r="I86" s="15"/>
      <c r="J86" s="15"/>
      <c r="K86" s="15"/>
      <c r="L86" s="15"/>
      <c r="M86" s="16" t="s">
        <v>66</v>
      </c>
      <c r="N86" s="17" t="n">
        <f aca="false">IFERROR(AVERAGE(N87:N88),"")</f>
        <v>0</v>
      </c>
      <c r="O86" s="14"/>
      <c r="P86" s="14" t="s">
        <v>749</v>
      </c>
      <c r="Q86" s="14" t="s">
        <v>750</v>
      </c>
    </row>
    <row r="87" customFormat="false" ht="15" hidden="false" customHeight="false" outlineLevel="0" collapsed="false">
      <c r="A87" s="6" t="s">
        <v>751</v>
      </c>
      <c r="B87" s="18" t="s">
        <v>746</v>
      </c>
      <c r="C87" s="6" t="s">
        <v>261</v>
      </c>
      <c r="E87" s="19" t="s">
        <v>262</v>
      </c>
      <c r="F87" s="20" t="s">
        <v>93</v>
      </c>
      <c r="G87" s="20" t="s">
        <v>74</v>
      </c>
      <c r="H87" s="22" t="n">
        <v>98.8</v>
      </c>
      <c r="I87" s="22" t="n">
        <v>98.9</v>
      </c>
      <c r="J87" s="22" t="n">
        <v>98.9</v>
      </c>
      <c r="K87" s="29" t="n">
        <v>100</v>
      </c>
      <c r="L87" s="18" t="s">
        <v>138</v>
      </c>
      <c r="M87" s="27" t="n">
        <v>98.9</v>
      </c>
      <c r="N87" s="25" t="n">
        <f aca="false">IF(AND(ISNUMBER(J87),ISNUMBER(K87),ISNUMBER(M87),K87&lt;&gt;J87),MAX(0,MIN(1,(M87-J87)/(K87-J87))),"")</f>
        <v>0</v>
      </c>
      <c r="O87" s="26"/>
      <c r="P87" s="6"/>
      <c r="Q87" s="6"/>
    </row>
    <row r="88" customFormat="false" ht="15" hidden="false" customHeight="false" outlineLevel="0" collapsed="false">
      <c r="A88" s="6" t="s">
        <v>752</v>
      </c>
      <c r="B88" s="18" t="s">
        <v>746</v>
      </c>
      <c r="C88" s="6" t="s">
        <v>753</v>
      </c>
      <c r="E88" s="19" t="s">
        <v>97</v>
      </c>
      <c r="F88" s="20" t="s">
        <v>79</v>
      </c>
      <c r="G88" s="20" t="s">
        <v>74</v>
      </c>
      <c r="H88" s="20" t="s">
        <v>97</v>
      </c>
      <c r="I88" s="20" t="s">
        <v>97</v>
      </c>
      <c r="J88" s="22" t="n">
        <v>0</v>
      </c>
      <c r="K88" s="29" t="n">
        <v>3</v>
      </c>
      <c r="L88" s="18" t="s">
        <v>98</v>
      </c>
      <c r="M88" s="30"/>
      <c r="N88" s="25" t="str">
        <f aca="false">IF(AND(ISNUMBER(J88),ISNUMBER(K88),ISNUMBER(M88),K88&lt;&gt;J88),MAX(0,MIN(1,(M88-J88)/(K88-J88))),"")</f>
        <v/>
      </c>
      <c r="O88" s="26"/>
      <c r="P88" s="6"/>
      <c r="Q88" s="6"/>
    </row>
    <row r="89" customFormat="false" ht="180.75" hidden="false" customHeight="true" outlineLevel="0" collapsed="false">
      <c r="A89" s="12" t="s">
        <v>754</v>
      </c>
      <c r="B89" s="12" t="s">
        <v>746</v>
      </c>
      <c r="C89" s="13" t="s">
        <v>755</v>
      </c>
      <c r="D89" s="14" t="s">
        <v>748</v>
      </c>
      <c r="E89" s="15"/>
      <c r="F89" s="15"/>
      <c r="G89" s="15"/>
      <c r="H89" s="15"/>
      <c r="I89" s="15"/>
      <c r="J89" s="15"/>
      <c r="K89" s="15"/>
      <c r="L89" s="15"/>
      <c r="M89" s="16" t="s">
        <v>66</v>
      </c>
      <c r="N89" s="17" t="n">
        <f aca="false">IFERROR(AVERAGE(N90:N92),"")</f>
        <v>0</v>
      </c>
      <c r="O89" s="14"/>
      <c r="P89" s="14" t="s">
        <v>756</v>
      </c>
      <c r="Q89" s="14" t="s">
        <v>757</v>
      </c>
    </row>
    <row r="90" customFormat="false" ht="15" hidden="false" customHeight="false" outlineLevel="0" collapsed="false">
      <c r="A90" s="6" t="s">
        <v>758</v>
      </c>
      <c r="B90" s="18" t="s">
        <v>746</v>
      </c>
      <c r="C90" s="6" t="s">
        <v>255</v>
      </c>
      <c r="E90" s="19" t="s">
        <v>256</v>
      </c>
      <c r="F90" s="20" t="s">
        <v>134</v>
      </c>
      <c r="G90" s="20" t="s">
        <v>118</v>
      </c>
      <c r="H90" s="22" t="n">
        <v>525.1</v>
      </c>
      <c r="I90" s="22" t="n">
        <v>746.39</v>
      </c>
      <c r="J90" s="22" t="n">
        <v>746.39</v>
      </c>
      <c r="K90" s="29" t="n">
        <v>709.0705</v>
      </c>
      <c r="L90" s="18" t="s">
        <v>138</v>
      </c>
      <c r="M90" s="27" t="n">
        <v>746.39</v>
      </c>
      <c r="N90" s="25" t="n">
        <f aca="false">IF(AND(ISNUMBER(J90),ISNUMBER(K90),ISNUMBER(M90),K90&lt;&gt;J90),MAX(0,MIN(1,(M90-J90)/(K90-J90))),"")</f>
        <v>-0</v>
      </c>
      <c r="O90" s="26"/>
      <c r="P90" s="6"/>
      <c r="Q90" s="6"/>
    </row>
    <row r="91" customFormat="false" ht="15" hidden="false" customHeight="false" outlineLevel="0" collapsed="false">
      <c r="A91" s="6" t="s">
        <v>759</v>
      </c>
      <c r="B91" s="18" t="s">
        <v>746</v>
      </c>
      <c r="C91" s="6" t="s">
        <v>760</v>
      </c>
      <c r="E91" s="19" t="s">
        <v>97</v>
      </c>
      <c r="F91" s="20" t="s">
        <v>93</v>
      </c>
      <c r="G91" s="20" t="s">
        <v>74</v>
      </c>
      <c r="H91" s="20" t="s">
        <v>97</v>
      </c>
      <c r="I91" s="20" t="s">
        <v>97</v>
      </c>
      <c r="J91" s="22" t="n">
        <v>0</v>
      </c>
      <c r="K91" s="29" t="n">
        <v>100</v>
      </c>
      <c r="L91" s="18" t="s">
        <v>98</v>
      </c>
      <c r="M91" s="30"/>
      <c r="N91" s="25" t="str">
        <f aca="false">IF(AND(ISNUMBER(J91),ISNUMBER(K91),ISNUMBER(M91),K91&lt;&gt;J91),MAX(0,MIN(1,(M91-J91)/(K91-J91))),"")</f>
        <v/>
      </c>
      <c r="O91" s="26"/>
      <c r="P91" s="6"/>
      <c r="Q91" s="6"/>
    </row>
    <row r="92" customFormat="false" ht="15" hidden="false" customHeight="false" outlineLevel="0" collapsed="false">
      <c r="A92" s="6" t="s">
        <v>761</v>
      </c>
      <c r="B92" s="18" t="s">
        <v>746</v>
      </c>
      <c r="C92" s="6" t="s">
        <v>762</v>
      </c>
      <c r="E92" s="19" t="s">
        <v>97</v>
      </c>
      <c r="F92" s="20" t="s">
        <v>93</v>
      </c>
      <c r="G92" s="20" t="s">
        <v>74</v>
      </c>
      <c r="H92" s="20" t="s">
        <v>97</v>
      </c>
      <c r="I92" s="20" t="s">
        <v>97</v>
      </c>
      <c r="J92" s="22" t="n">
        <v>0</v>
      </c>
      <c r="K92" s="29" t="n">
        <v>100</v>
      </c>
      <c r="L92" s="18" t="s">
        <v>98</v>
      </c>
      <c r="M92" s="30"/>
      <c r="N92" s="25" t="str">
        <f aca="false">IF(AND(ISNUMBER(J92),ISNUMBER(K92),ISNUMBER(M92),K92&lt;&gt;J92),MAX(0,MIN(1,(M92-J92)/(K92-J92))),"")</f>
        <v/>
      </c>
      <c r="O92" s="26"/>
      <c r="P92" s="6"/>
      <c r="Q92" s="6"/>
    </row>
    <row r="93" customFormat="false" ht="156" hidden="false" customHeight="true" outlineLevel="0" collapsed="false">
      <c r="A93" s="12" t="s">
        <v>763</v>
      </c>
      <c r="B93" s="12" t="s">
        <v>746</v>
      </c>
      <c r="C93" s="13" t="s">
        <v>764</v>
      </c>
      <c r="D93" s="14" t="s">
        <v>748</v>
      </c>
      <c r="E93" s="15"/>
      <c r="F93" s="15"/>
      <c r="G93" s="15"/>
      <c r="H93" s="15"/>
      <c r="I93" s="15"/>
      <c r="J93" s="15"/>
      <c r="K93" s="15"/>
      <c r="L93" s="15"/>
      <c r="M93" s="16" t="s">
        <v>66</v>
      </c>
      <c r="N93" s="17" t="n">
        <f aca="false">IFERROR(AVERAGE(N94:N96),"")</f>
        <v>0</v>
      </c>
      <c r="O93" s="14"/>
      <c r="P93" s="14" t="s">
        <v>765</v>
      </c>
      <c r="Q93" s="14" t="s">
        <v>766</v>
      </c>
    </row>
    <row r="94" customFormat="false" ht="15" hidden="false" customHeight="false" outlineLevel="0" collapsed="false">
      <c r="A94" s="6" t="s">
        <v>767</v>
      </c>
      <c r="B94" s="18" t="s">
        <v>746</v>
      </c>
      <c r="C94" s="6" t="s">
        <v>258</v>
      </c>
      <c r="E94" s="19" t="s">
        <v>259</v>
      </c>
      <c r="F94" s="20" t="s">
        <v>134</v>
      </c>
      <c r="G94" s="20" t="s">
        <v>118</v>
      </c>
      <c r="H94" s="22" t="n">
        <v>199.4</v>
      </c>
      <c r="I94" s="22" t="n">
        <v>340.87</v>
      </c>
      <c r="J94" s="22" t="n">
        <v>340.87</v>
      </c>
      <c r="K94" s="29" t="n">
        <v>323.8265</v>
      </c>
      <c r="L94" s="18" t="s">
        <v>138</v>
      </c>
      <c r="M94" s="27" t="n">
        <v>340.87</v>
      </c>
      <c r="N94" s="25" t="n">
        <f aca="false">IF(AND(ISNUMBER(J94),ISNUMBER(K94),ISNUMBER(M94),K94&lt;&gt;J94),MAX(0,MIN(1,(M94-J94)/(K94-J94))),"")</f>
        <v>-0</v>
      </c>
      <c r="O94" s="26"/>
      <c r="P94" s="6"/>
      <c r="Q94" s="6"/>
    </row>
    <row r="95" customFormat="false" ht="15" hidden="false" customHeight="false" outlineLevel="0" collapsed="false">
      <c r="A95" s="6" t="s">
        <v>768</v>
      </c>
      <c r="B95" s="18" t="s">
        <v>746</v>
      </c>
      <c r="C95" s="6" t="s">
        <v>769</v>
      </c>
      <c r="E95" s="19" t="s">
        <v>97</v>
      </c>
      <c r="F95" s="20" t="s">
        <v>79</v>
      </c>
      <c r="G95" s="20" t="s">
        <v>74</v>
      </c>
      <c r="H95" s="20" t="s">
        <v>97</v>
      </c>
      <c r="I95" s="20" t="s">
        <v>97</v>
      </c>
      <c r="J95" s="22" t="n">
        <v>0</v>
      </c>
      <c r="K95" s="29" t="n">
        <v>2</v>
      </c>
      <c r="L95" s="18" t="s">
        <v>98</v>
      </c>
      <c r="M95" s="30"/>
      <c r="N95" s="25" t="str">
        <f aca="false">IF(AND(ISNUMBER(J95),ISNUMBER(K95),ISNUMBER(M95),K95&lt;&gt;J95),MAX(0,MIN(1,(M95-J95)/(K95-J95))),"")</f>
        <v/>
      </c>
      <c r="O95" s="26"/>
      <c r="P95" s="6"/>
      <c r="Q95" s="6"/>
    </row>
    <row r="96" customFormat="false" ht="15" hidden="false" customHeight="false" outlineLevel="0" collapsed="false">
      <c r="A96" s="6" t="s">
        <v>770</v>
      </c>
      <c r="B96" s="18" t="s">
        <v>746</v>
      </c>
      <c r="C96" s="6" t="s">
        <v>771</v>
      </c>
      <c r="E96" s="19" t="s">
        <v>97</v>
      </c>
      <c r="F96" s="20" t="s">
        <v>79</v>
      </c>
      <c r="G96" s="20" t="s">
        <v>74</v>
      </c>
      <c r="H96" s="20" t="s">
        <v>97</v>
      </c>
      <c r="I96" s="20" t="s">
        <v>97</v>
      </c>
      <c r="J96" s="22" t="n">
        <v>0</v>
      </c>
      <c r="K96" s="29" t="n">
        <v>3</v>
      </c>
      <c r="L96" s="18" t="s">
        <v>98</v>
      </c>
      <c r="M96" s="30"/>
      <c r="N96" s="25" t="str">
        <f aca="false">IF(AND(ISNUMBER(J96),ISNUMBER(K96),ISNUMBER(M96),K96&lt;&gt;J96),MAX(0,MIN(1,(M96-J96)/(K96-J96))),"")</f>
        <v/>
      </c>
      <c r="O96" s="26"/>
      <c r="P96" s="6"/>
      <c r="Q96" s="6"/>
    </row>
    <row r="97" customFormat="false" ht="24" hidden="false" customHeight="true" outlineLevel="0" collapsed="false">
      <c r="A97" s="35" t="s">
        <v>772</v>
      </c>
      <c r="B97" s="34"/>
      <c r="C97" s="34"/>
      <c r="D97" s="34"/>
      <c r="E97" s="34"/>
      <c r="F97" s="34"/>
      <c r="G97" s="34"/>
      <c r="H97" s="34"/>
      <c r="I97" s="34"/>
      <c r="J97" s="34"/>
      <c r="K97" s="34"/>
      <c r="L97" s="34"/>
      <c r="M97" s="34"/>
      <c r="N97" s="34"/>
      <c r="O97" s="34"/>
      <c r="P97" s="34"/>
      <c r="Q97" s="34"/>
    </row>
    <row r="98" customFormat="false" ht="180.75" hidden="false" customHeight="true" outlineLevel="0" collapsed="false">
      <c r="A98" s="12" t="s">
        <v>773</v>
      </c>
      <c r="B98" s="12" t="s">
        <v>774</v>
      </c>
      <c r="C98" s="13" t="s">
        <v>775</v>
      </c>
      <c r="D98" s="14" t="s">
        <v>776</v>
      </c>
      <c r="E98" s="15"/>
      <c r="F98" s="15"/>
      <c r="G98" s="15"/>
      <c r="H98" s="15"/>
      <c r="I98" s="15"/>
      <c r="J98" s="15"/>
      <c r="K98" s="15"/>
      <c r="L98" s="15"/>
      <c r="M98" s="16" t="s">
        <v>66</v>
      </c>
      <c r="N98" s="17" t="n">
        <f aca="false">IFERROR(AVERAGE(N99:N102),"")</f>
        <v>0</v>
      </c>
      <c r="O98" s="14"/>
      <c r="P98" s="14" t="s">
        <v>777</v>
      </c>
      <c r="Q98" s="14" t="s">
        <v>778</v>
      </c>
    </row>
    <row r="99" customFormat="false" ht="15" hidden="false" customHeight="false" outlineLevel="0" collapsed="false">
      <c r="A99" s="6" t="s">
        <v>779</v>
      </c>
      <c r="B99" s="18" t="s">
        <v>774</v>
      </c>
      <c r="C99" s="6" t="s">
        <v>780</v>
      </c>
      <c r="E99" s="19" t="s">
        <v>781</v>
      </c>
      <c r="F99" s="20" t="s">
        <v>134</v>
      </c>
      <c r="G99" s="20" t="s">
        <v>118</v>
      </c>
      <c r="H99" s="21" t="n">
        <v>10208.38</v>
      </c>
      <c r="I99" s="21" t="n">
        <v>9000.22</v>
      </c>
      <c r="J99" s="21" t="n">
        <v>9000.22</v>
      </c>
      <c r="K99" s="23" t="n">
        <v>8550.209</v>
      </c>
      <c r="L99" s="18" t="s">
        <v>138</v>
      </c>
      <c r="M99" s="24" t="n">
        <v>9000.22</v>
      </c>
      <c r="N99" s="25" t="n">
        <f aca="false">IF(AND(ISNUMBER(J99),ISNUMBER(K99),ISNUMBER(M99),K99&lt;&gt;J99),MAX(0,MIN(1,(M99-J99)/(K99-J99))),"")</f>
        <v>-0</v>
      </c>
      <c r="O99" s="26"/>
      <c r="P99" s="6"/>
      <c r="Q99" s="6"/>
    </row>
    <row r="100" customFormat="false" ht="23.85" hidden="false" customHeight="false" outlineLevel="0" collapsed="false">
      <c r="A100" s="6" t="s">
        <v>782</v>
      </c>
      <c r="B100" s="18" t="s">
        <v>774</v>
      </c>
      <c r="C100" s="6" t="s">
        <v>132</v>
      </c>
      <c r="E100" s="19" t="s">
        <v>243</v>
      </c>
      <c r="F100" s="20" t="s">
        <v>134</v>
      </c>
      <c r="G100" s="20" t="s">
        <v>118</v>
      </c>
      <c r="H100" s="21" t="n">
        <v>10207.4</v>
      </c>
      <c r="I100" s="21" t="n">
        <v>9438.09</v>
      </c>
      <c r="J100" s="21" t="n">
        <v>9438.09</v>
      </c>
      <c r="K100" s="32" t="n">
        <v>9000</v>
      </c>
      <c r="L100" s="18" t="s">
        <v>119</v>
      </c>
      <c r="M100" s="24" t="n">
        <v>9438.09</v>
      </c>
      <c r="N100" s="25" t="n">
        <f aca="false">IF(AND(ISNUMBER(J100),ISNUMBER(K100),ISNUMBER(M100),K100&lt;&gt;J100),MAX(0,MIN(1,(M100-J100)/(K100-J100))),"")</f>
        <v>-0</v>
      </c>
      <c r="O100" s="26"/>
      <c r="P100" s="6"/>
      <c r="Q100" s="6"/>
    </row>
    <row r="101" customFormat="false" ht="15" hidden="false" customHeight="false" outlineLevel="0" collapsed="false">
      <c r="A101" s="6" t="s">
        <v>783</v>
      </c>
      <c r="B101" s="18" t="s">
        <v>774</v>
      </c>
      <c r="C101" s="6" t="s">
        <v>248</v>
      </c>
      <c r="E101" s="19" t="s">
        <v>249</v>
      </c>
      <c r="F101" s="20" t="s">
        <v>134</v>
      </c>
      <c r="G101" s="20" t="s">
        <v>118</v>
      </c>
      <c r="H101" s="20" t="s">
        <v>97</v>
      </c>
      <c r="I101" s="20" t="s">
        <v>97</v>
      </c>
      <c r="J101" s="20" t="s">
        <v>97</v>
      </c>
      <c r="K101" s="32" t="n">
        <v>3450</v>
      </c>
      <c r="L101" s="18" t="s">
        <v>250</v>
      </c>
      <c r="M101" s="30"/>
      <c r="N101" s="25" t="str">
        <f aca="false">IF(AND(ISNUMBER(J101),ISNUMBER(K101),ISNUMBER(M101),K101&lt;&gt;J101),MAX(0,MIN(1,(M101-J101)/(K101-J101))),"")</f>
        <v/>
      </c>
      <c r="O101" s="26"/>
      <c r="P101" s="6"/>
      <c r="Q101" s="6"/>
    </row>
    <row r="102" customFormat="false" ht="15" hidden="false" customHeight="false" outlineLevel="0" collapsed="false">
      <c r="A102" s="6" t="s">
        <v>784</v>
      </c>
      <c r="B102" s="18" t="s">
        <v>774</v>
      </c>
      <c r="C102" s="6" t="s">
        <v>245</v>
      </c>
      <c r="E102" s="19" t="s">
        <v>246</v>
      </c>
      <c r="F102" s="20" t="s">
        <v>134</v>
      </c>
      <c r="G102" s="20" t="s">
        <v>118</v>
      </c>
      <c r="H102" s="20" t="s">
        <v>97</v>
      </c>
      <c r="I102" s="22" t="n">
        <v>99.03</v>
      </c>
      <c r="J102" s="22" t="n">
        <v>99.03</v>
      </c>
      <c r="K102" s="29" t="n">
        <v>94.0785</v>
      </c>
      <c r="L102" s="18" t="s">
        <v>138</v>
      </c>
      <c r="M102" s="27" t="n">
        <v>99.03</v>
      </c>
      <c r="N102" s="25" t="n">
        <f aca="false">IF(AND(ISNUMBER(J102),ISNUMBER(K102),ISNUMBER(M102),K102&lt;&gt;J102),MAX(0,MIN(1,(M102-J102)/(K102-J102))),"")</f>
        <v>-0</v>
      </c>
      <c r="O102" s="26"/>
      <c r="P102" s="6"/>
      <c r="Q102" s="6"/>
    </row>
    <row r="103" customFormat="false" ht="81" hidden="false" customHeight="true" outlineLevel="0" collapsed="false">
      <c r="A103" s="12" t="s">
        <v>785</v>
      </c>
      <c r="B103" s="12" t="s">
        <v>774</v>
      </c>
      <c r="C103" s="13" t="s">
        <v>786</v>
      </c>
      <c r="D103" s="14" t="s">
        <v>776</v>
      </c>
      <c r="E103" s="15"/>
      <c r="F103" s="15"/>
      <c r="G103" s="15"/>
      <c r="H103" s="15"/>
      <c r="I103" s="15"/>
      <c r="J103" s="15"/>
      <c r="K103" s="15"/>
      <c r="L103" s="15"/>
      <c r="M103" s="16" t="s">
        <v>66</v>
      </c>
      <c r="N103" s="17" t="str">
        <f aca="false">IFERROR(AVERAGE(N104:N106),"")</f>
        <v/>
      </c>
      <c r="O103" s="14"/>
      <c r="P103" s="14" t="s">
        <v>787</v>
      </c>
      <c r="Q103" s="14"/>
    </row>
    <row r="104" customFormat="false" ht="15" hidden="false" customHeight="false" outlineLevel="0" collapsed="false">
      <c r="A104" s="6" t="s">
        <v>788</v>
      </c>
      <c r="B104" s="18" t="s">
        <v>774</v>
      </c>
      <c r="C104" s="6" t="s">
        <v>789</v>
      </c>
      <c r="E104" s="19" t="s">
        <v>97</v>
      </c>
      <c r="F104" s="20" t="s">
        <v>93</v>
      </c>
      <c r="G104" s="20" t="s">
        <v>74</v>
      </c>
      <c r="H104" s="20" t="s">
        <v>97</v>
      </c>
      <c r="I104" s="20" t="s">
        <v>97</v>
      </c>
      <c r="J104" s="22" t="n">
        <v>0</v>
      </c>
      <c r="K104" s="29" t="n">
        <v>95</v>
      </c>
      <c r="L104" s="18" t="s">
        <v>98</v>
      </c>
      <c r="M104" s="30"/>
      <c r="N104" s="25" t="str">
        <f aca="false">IF(AND(ISNUMBER(J104),ISNUMBER(K104),ISNUMBER(M104),K104&lt;&gt;J104),MAX(0,MIN(1,(M104-J104)/(K104-J104))),"")</f>
        <v/>
      </c>
      <c r="O104" s="26"/>
      <c r="P104" s="6"/>
      <c r="Q104" s="6"/>
    </row>
    <row r="105" customFormat="false" ht="22.35" hidden="false" customHeight="false" outlineLevel="0" collapsed="false">
      <c r="A105" s="6" t="s">
        <v>790</v>
      </c>
      <c r="B105" s="18" t="s">
        <v>774</v>
      </c>
      <c r="C105" s="6" t="s">
        <v>791</v>
      </c>
      <c r="E105" s="19" t="s">
        <v>97</v>
      </c>
      <c r="F105" s="20" t="s">
        <v>93</v>
      </c>
      <c r="G105" s="20" t="s">
        <v>118</v>
      </c>
      <c r="H105" s="20" t="s">
        <v>97</v>
      </c>
      <c r="I105" s="20" t="s">
        <v>97</v>
      </c>
      <c r="J105" s="22" t="n">
        <v>0</v>
      </c>
      <c r="K105" s="29" t="n">
        <v>-20</v>
      </c>
      <c r="L105" s="18" t="s">
        <v>792</v>
      </c>
      <c r="M105" s="30"/>
      <c r="N105" s="25" t="str">
        <f aca="false">IF(AND(ISNUMBER(J105),ISNUMBER(K105),ISNUMBER(M105),K105&lt;&gt;J105),MAX(0,MIN(1,(M105-J105)/(K105-J105))),"")</f>
        <v/>
      </c>
      <c r="O105" s="26"/>
      <c r="P105" s="6"/>
      <c r="Q105" s="6"/>
    </row>
    <row r="106" customFormat="false" ht="15" hidden="false" customHeight="false" outlineLevel="0" collapsed="false">
      <c r="A106" s="6" t="s">
        <v>793</v>
      </c>
      <c r="B106" s="18" t="s">
        <v>774</v>
      </c>
      <c r="C106" s="6" t="s">
        <v>794</v>
      </c>
      <c r="E106" s="19" t="s">
        <v>97</v>
      </c>
      <c r="F106" s="20" t="s">
        <v>93</v>
      </c>
      <c r="G106" s="20" t="s">
        <v>74</v>
      </c>
      <c r="H106" s="20" t="s">
        <v>97</v>
      </c>
      <c r="I106" s="20" t="s">
        <v>97</v>
      </c>
      <c r="J106" s="22" t="n">
        <v>0</v>
      </c>
      <c r="K106" s="29" t="n">
        <v>90</v>
      </c>
      <c r="L106" s="18" t="s">
        <v>98</v>
      </c>
      <c r="M106" s="30"/>
      <c r="N106" s="25" t="str">
        <f aca="false">IF(AND(ISNUMBER(J106),ISNUMBER(K106),ISNUMBER(M106),K106&lt;&gt;J106),MAX(0,MIN(1,(M106-J106)/(K106-J106))),"")</f>
        <v/>
      </c>
      <c r="O106" s="26"/>
      <c r="P106" s="6"/>
      <c r="Q106" s="6"/>
    </row>
    <row r="107" customFormat="false" ht="180.75" hidden="false" customHeight="true" outlineLevel="0" collapsed="false">
      <c r="A107" s="12" t="s">
        <v>795</v>
      </c>
      <c r="B107" s="12" t="s">
        <v>774</v>
      </c>
      <c r="C107" s="13" t="s">
        <v>796</v>
      </c>
      <c r="D107" s="14" t="s">
        <v>797</v>
      </c>
      <c r="E107" s="15"/>
      <c r="F107" s="15"/>
      <c r="G107" s="15"/>
      <c r="H107" s="15"/>
      <c r="I107" s="15"/>
      <c r="J107" s="15"/>
      <c r="K107" s="15"/>
      <c r="L107" s="15"/>
      <c r="M107" s="16" t="s">
        <v>66</v>
      </c>
      <c r="N107" s="17" t="n">
        <f aca="false">IFERROR(AVERAGE(N108:N110),"")</f>
        <v>0</v>
      </c>
      <c r="O107" s="14"/>
      <c r="P107" s="14" t="s">
        <v>798</v>
      </c>
      <c r="Q107" s="14" t="s">
        <v>799</v>
      </c>
    </row>
    <row r="108" customFormat="false" ht="15" hidden="false" customHeight="false" outlineLevel="0" collapsed="false">
      <c r="A108" s="6" t="s">
        <v>800</v>
      </c>
      <c r="B108" s="18" t="s">
        <v>774</v>
      </c>
      <c r="C108" s="6" t="s">
        <v>268</v>
      </c>
      <c r="E108" s="19" t="s">
        <v>269</v>
      </c>
      <c r="F108" s="20" t="s">
        <v>93</v>
      </c>
      <c r="G108" s="20" t="s">
        <v>74</v>
      </c>
      <c r="H108" s="20" t="s">
        <v>97</v>
      </c>
      <c r="I108" s="20" t="s">
        <v>97</v>
      </c>
      <c r="J108" s="20" t="s">
        <v>97</v>
      </c>
      <c r="K108" s="28" t="n">
        <v>67</v>
      </c>
      <c r="L108" s="18" t="s">
        <v>149</v>
      </c>
      <c r="M108" s="30"/>
      <c r="N108" s="25" t="str">
        <f aca="false">IF(AND(ISNUMBER(J108),ISNUMBER(K108),ISNUMBER(M108),K108&lt;&gt;J108),MAX(0,MIN(1,(M108-J108)/(K108-J108))),"")</f>
        <v/>
      </c>
      <c r="O108" s="26"/>
      <c r="P108" s="6"/>
      <c r="Q108" s="6"/>
    </row>
    <row r="109" customFormat="false" ht="15" hidden="false" customHeight="false" outlineLevel="0" collapsed="false">
      <c r="A109" s="6" t="s">
        <v>801</v>
      </c>
      <c r="B109" s="18" t="s">
        <v>774</v>
      </c>
      <c r="C109" s="6" t="s">
        <v>802</v>
      </c>
      <c r="E109" s="19" t="s">
        <v>803</v>
      </c>
      <c r="F109" s="20" t="s">
        <v>117</v>
      </c>
      <c r="G109" s="20" t="s">
        <v>118</v>
      </c>
      <c r="H109" s="20" t="s">
        <v>97</v>
      </c>
      <c r="I109" s="22" t="n">
        <v>10.6</v>
      </c>
      <c r="J109" s="22" t="n">
        <v>10.6</v>
      </c>
      <c r="K109" s="29" t="n">
        <v>10.07</v>
      </c>
      <c r="L109" s="18" t="s">
        <v>138</v>
      </c>
      <c r="M109" s="27" t="n">
        <v>10.6</v>
      </c>
      <c r="N109" s="25" t="n">
        <f aca="false">IF(AND(ISNUMBER(J109),ISNUMBER(K109),ISNUMBER(M109),K109&lt;&gt;J109),MAX(0,MIN(1,(M109-J109)/(K109-J109))),"")</f>
        <v>-0</v>
      </c>
      <c r="O109" s="26"/>
      <c r="P109" s="6"/>
      <c r="Q109" s="6"/>
    </row>
    <row r="110" customFormat="false" ht="15" hidden="false" customHeight="false" outlineLevel="0" collapsed="false">
      <c r="A110" s="6" t="s">
        <v>804</v>
      </c>
      <c r="B110" s="18" t="s">
        <v>774</v>
      </c>
      <c r="C110" s="6" t="s">
        <v>805</v>
      </c>
      <c r="E110" s="19" t="s">
        <v>97</v>
      </c>
      <c r="F110" s="20" t="s">
        <v>93</v>
      </c>
      <c r="G110" s="20" t="s">
        <v>74</v>
      </c>
      <c r="H110" s="20" t="s">
        <v>97</v>
      </c>
      <c r="I110" s="20" t="s">
        <v>97</v>
      </c>
      <c r="J110" s="22" t="n">
        <v>0</v>
      </c>
      <c r="K110" s="29" t="n">
        <v>100</v>
      </c>
      <c r="L110" s="18" t="s">
        <v>98</v>
      </c>
      <c r="M110" s="30"/>
      <c r="N110" s="25" t="str">
        <f aca="false">IF(AND(ISNUMBER(J110),ISNUMBER(K110),ISNUMBER(M110),K110&lt;&gt;J110),MAX(0,MIN(1,(M110-J110)/(K110-J110))),"")</f>
        <v/>
      </c>
      <c r="O110" s="26"/>
      <c r="P110" s="6"/>
      <c r="Q110" s="6"/>
    </row>
    <row r="111" customFormat="false" ht="24" hidden="false" customHeight="true" outlineLevel="0" collapsed="false">
      <c r="A111" s="35" t="s">
        <v>806</v>
      </c>
      <c r="B111" s="34"/>
      <c r="C111" s="34"/>
      <c r="D111" s="34"/>
      <c r="E111" s="34"/>
      <c r="F111" s="34"/>
      <c r="G111" s="34"/>
      <c r="H111" s="34"/>
      <c r="I111" s="34"/>
      <c r="J111" s="34"/>
      <c r="K111" s="34"/>
      <c r="L111" s="34"/>
      <c r="M111" s="34"/>
      <c r="N111" s="34"/>
      <c r="O111" s="34"/>
      <c r="P111" s="34"/>
      <c r="Q111" s="34"/>
    </row>
    <row r="112" customFormat="false" ht="118.5" hidden="false" customHeight="true" outlineLevel="0" collapsed="false">
      <c r="A112" s="12" t="s">
        <v>807</v>
      </c>
      <c r="B112" s="12" t="s">
        <v>808</v>
      </c>
      <c r="C112" s="13" t="s">
        <v>809</v>
      </c>
      <c r="D112" s="14" t="s">
        <v>810</v>
      </c>
      <c r="E112" s="15"/>
      <c r="F112" s="15"/>
      <c r="G112" s="15"/>
      <c r="H112" s="15"/>
      <c r="I112" s="15"/>
      <c r="J112" s="15"/>
      <c r="K112" s="15"/>
      <c r="L112" s="15"/>
      <c r="M112" s="16" t="s">
        <v>66</v>
      </c>
      <c r="N112" s="17" t="str">
        <f aca="false">IFERROR(AVERAGE(N113:N114),"")</f>
        <v/>
      </c>
      <c r="O112" s="14"/>
      <c r="P112" s="14" t="s">
        <v>811</v>
      </c>
      <c r="Q112" s="14" t="s">
        <v>812</v>
      </c>
    </row>
    <row r="113" customFormat="false" ht="15" hidden="false" customHeight="false" outlineLevel="0" collapsed="false">
      <c r="A113" s="6" t="s">
        <v>813</v>
      </c>
      <c r="B113" s="18" t="s">
        <v>808</v>
      </c>
      <c r="C113" s="6" t="s">
        <v>310</v>
      </c>
      <c r="E113" s="19" t="s">
        <v>311</v>
      </c>
      <c r="F113" s="20" t="s">
        <v>93</v>
      </c>
      <c r="G113" s="20" t="s">
        <v>74</v>
      </c>
      <c r="H113" s="22" t="n">
        <v>78.38</v>
      </c>
      <c r="I113" s="20" t="s">
        <v>97</v>
      </c>
      <c r="J113" s="22" t="n">
        <v>78.38</v>
      </c>
      <c r="K113" s="29" t="n">
        <v>82.299</v>
      </c>
      <c r="L113" s="18" t="s">
        <v>138</v>
      </c>
      <c r="M113" s="30"/>
      <c r="N113" s="25" t="str">
        <f aca="false">IF(AND(ISNUMBER(J113),ISNUMBER(K113),ISNUMBER(M113),K113&lt;&gt;J113),MAX(0,MIN(1,(M113-J113)/(K113-J113))),"")</f>
        <v/>
      </c>
      <c r="O113" s="26"/>
      <c r="P113" s="6"/>
      <c r="Q113" s="6"/>
    </row>
    <row r="114" customFormat="false" ht="15" hidden="false" customHeight="false" outlineLevel="0" collapsed="false">
      <c r="A114" s="6" t="s">
        <v>814</v>
      </c>
      <c r="B114" s="18" t="s">
        <v>808</v>
      </c>
      <c r="C114" s="6" t="s">
        <v>815</v>
      </c>
      <c r="E114" s="19" t="s">
        <v>97</v>
      </c>
      <c r="F114" s="20" t="s">
        <v>93</v>
      </c>
      <c r="G114" s="20" t="s">
        <v>74</v>
      </c>
      <c r="H114" s="20" t="s">
        <v>97</v>
      </c>
      <c r="I114" s="20" t="s">
        <v>97</v>
      </c>
      <c r="J114" s="22" t="n">
        <v>0</v>
      </c>
      <c r="K114" s="29" t="n">
        <v>100</v>
      </c>
      <c r="L114" s="18" t="s">
        <v>98</v>
      </c>
      <c r="M114" s="30"/>
      <c r="N114" s="25" t="str">
        <f aca="false">IF(AND(ISNUMBER(J114),ISNUMBER(K114),ISNUMBER(M114),K114&lt;&gt;J114),MAX(0,MIN(1,(M114-J114)/(K114-J114))),"")</f>
        <v/>
      </c>
      <c r="O114" s="26"/>
      <c r="P114" s="6"/>
      <c r="Q114" s="6"/>
    </row>
    <row r="115" customFormat="false" ht="218.25" hidden="false" customHeight="true" outlineLevel="0" collapsed="false">
      <c r="A115" s="12" t="s">
        <v>816</v>
      </c>
      <c r="B115" s="12" t="s">
        <v>808</v>
      </c>
      <c r="C115" s="13" t="s">
        <v>817</v>
      </c>
      <c r="D115" s="14" t="s">
        <v>810</v>
      </c>
      <c r="E115" s="15"/>
      <c r="F115" s="15"/>
      <c r="G115" s="15"/>
      <c r="H115" s="15"/>
      <c r="I115" s="15"/>
      <c r="J115" s="15"/>
      <c r="K115" s="15"/>
      <c r="L115" s="15"/>
      <c r="M115" s="16" t="s">
        <v>66</v>
      </c>
      <c r="N115" s="17" t="str">
        <f aca="false">IFERROR(AVERAGE(N116:N118),"")</f>
        <v/>
      </c>
      <c r="O115" s="14"/>
      <c r="P115" s="14" t="s">
        <v>818</v>
      </c>
      <c r="Q115" s="14" t="s">
        <v>819</v>
      </c>
    </row>
    <row r="116" customFormat="false" ht="15" hidden="false" customHeight="false" outlineLevel="0" collapsed="false">
      <c r="A116" s="6" t="s">
        <v>820</v>
      </c>
      <c r="B116" s="18" t="s">
        <v>808</v>
      </c>
      <c r="C116" s="6" t="s">
        <v>821</v>
      </c>
      <c r="E116" s="19" t="s">
        <v>97</v>
      </c>
      <c r="F116" s="20" t="s">
        <v>79</v>
      </c>
      <c r="G116" s="20" t="s">
        <v>74</v>
      </c>
      <c r="H116" s="20" t="s">
        <v>97</v>
      </c>
      <c r="I116" s="20" t="s">
        <v>97</v>
      </c>
      <c r="J116" s="22" t="n">
        <v>0</v>
      </c>
      <c r="K116" s="29" t="n">
        <v>10</v>
      </c>
      <c r="L116" s="18" t="s">
        <v>98</v>
      </c>
      <c r="M116" s="30"/>
      <c r="N116" s="25" t="str">
        <f aca="false">IF(AND(ISNUMBER(J116),ISNUMBER(K116),ISNUMBER(M116),K116&lt;&gt;J116),MAX(0,MIN(1,(M116-J116)/(K116-J116))),"")</f>
        <v/>
      </c>
      <c r="O116" s="26"/>
      <c r="P116" s="6"/>
      <c r="Q116" s="6"/>
    </row>
    <row r="117" customFormat="false" ht="15" hidden="false" customHeight="false" outlineLevel="0" collapsed="false">
      <c r="A117" s="6" t="s">
        <v>822</v>
      </c>
      <c r="B117" s="18" t="s">
        <v>808</v>
      </c>
      <c r="C117" s="6" t="s">
        <v>823</v>
      </c>
      <c r="E117" s="19" t="s">
        <v>97</v>
      </c>
      <c r="F117" s="20" t="s">
        <v>93</v>
      </c>
      <c r="G117" s="20" t="s">
        <v>74</v>
      </c>
      <c r="H117" s="20" t="s">
        <v>97</v>
      </c>
      <c r="I117" s="20" t="s">
        <v>97</v>
      </c>
      <c r="J117" s="22" t="n">
        <v>0</v>
      </c>
      <c r="K117" s="29" t="n">
        <v>90</v>
      </c>
      <c r="L117" s="18" t="s">
        <v>98</v>
      </c>
      <c r="M117" s="30"/>
      <c r="N117" s="25" t="str">
        <f aca="false">IF(AND(ISNUMBER(J117),ISNUMBER(K117),ISNUMBER(M117),K117&lt;&gt;J117),MAX(0,MIN(1,(M117-J117)/(K117-J117))),"")</f>
        <v/>
      </c>
      <c r="O117" s="26"/>
      <c r="P117" s="6"/>
      <c r="Q117" s="6"/>
    </row>
    <row r="118" customFormat="false" ht="15" hidden="false" customHeight="false" outlineLevel="0" collapsed="false">
      <c r="A118" s="6" t="s">
        <v>824</v>
      </c>
      <c r="B118" s="18" t="s">
        <v>808</v>
      </c>
      <c r="C118" s="6" t="s">
        <v>825</v>
      </c>
      <c r="E118" s="19" t="s">
        <v>97</v>
      </c>
      <c r="F118" s="20" t="s">
        <v>93</v>
      </c>
      <c r="G118" s="20" t="s">
        <v>74</v>
      </c>
      <c r="H118" s="20" t="s">
        <v>97</v>
      </c>
      <c r="I118" s="20" t="s">
        <v>97</v>
      </c>
      <c r="J118" s="22" t="n">
        <v>0</v>
      </c>
      <c r="K118" s="29" t="n">
        <v>30</v>
      </c>
      <c r="L118" s="18" t="s">
        <v>98</v>
      </c>
      <c r="M118" s="30"/>
      <c r="N118" s="25" t="str">
        <f aca="false">IF(AND(ISNUMBER(J118),ISNUMBER(K118),ISNUMBER(M118),K118&lt;&gt;J118),MAX(0,MIN(1,(M118-J118)/(K118-J118))),"")</f>
        <v/>
      </c>
      <c r="O118" s="26"/>
      <c r="P118" s="6"/>
      <c r="Q118" s="6"/>
    </row>
    <row r="119" customFormat="false" ht="55.5" hidden="false" customHeight="true" outlineLevel="0" collapsed="false">
      <c r="A119" s="12" t="s">
        <v>826</v>
      </c>
      <c r="B119" s="12" t="s">
        <v>808</v>
      </c>
      <c r="C119" s="13" t="s">
        <v>827</v>
      </c>
      <c r="D119" s="14" t="s">
        <v>810</v>
      </c>
      <c r="E119" s="15"/>
      <c r="F119" s="15"/>
      <c r="G119" s="15"/>
      <c r="H119" s="15"/>
      <c r="I119" s="15"/>
      <c r="J119" s="15"/>
      <c r="K119" s="15"/>
      <c r="L119" s="15"/>
      <c r="M119" s="16" t="s">
        <v>66</v>
      </c>
      <c r="N119" s="17" t="str">
        <f aca="false">IFERROR(AVERAGE(N120:N122),"")</f>
        <v/>
      </c>
      <c r="O119" s="14"/>
      <c r="P119" s="14" t="s">
        <v>828</v>
      </c>
      <c r="Q119" s="14"/>
    </row>
    <row r="120" customFormat="false" ht="15" hidden="false" customHeight="false" outlineLevel="0" collapsed="false">
      <c r="A120" s="6" t="s">
        <v>829</v>
      </c>
      <c r="B120" s="18" t="s">
        <v>808</v>
      </c>
      <c r="C120" s="6" t="s">
        <v>830</v>
      </c>
      <c r="E120" s="19" t="s">
        <v>97</v>
      </c>
      <c r="F120" s="20" t="s">
        <v>79</v>
      </c>
      <c r="G120" s="20" t="s">
        <v>74</v>
      </c>
      <c r="H120" s="20" t="s">
        <v>97</v>
      </c>
      <c r="I120" s="20" t="s">
        <v>97</v>
      </c>
      <c r="J120" s="22" t="n">
        <v>0</v>
      </c>
      <c r="K120" s="29" t="n">
        <v>10</v>
      </c>
      <c r="L120" s="18" t="s">
        <v>98</v>
      </c>
      <c r="M120" s="30"/>
      <c r="N120" s="25" t="str">
        <f aca="false">IF(AND(ISNUMBER(J120),ISNUMBER(K120),ISNUMBER(M120),K120&lt;&gt;J120),MAX(0,MIN(1,(M120-J120)/(K120-J120))),"")</f>
        <v/>
      </c>
      <c r="O120" s="26"/>
      <c r="P120" s="6"/>
      <c r="Q120" s="6"/>
    </row>
    <row r="121" customFormat="false" ht="15" hidden="false" customHeight="false" outlineLevel="0" collapsed="false">
      <c r="A121" s="6" t="s">
        <v>831</v>
      </c>
      <c r="B121" s="18" t="s">
        <v>808</v>
      </c>
      <c r="C121" s="6" t="s">
        <v>832</v>
      </c>
      <c r="E121" s="19" t="s">
        <v>97</v>
      </c>
      <c r="F121" s="20" t="s">
        <v>93</v>
      </c>
      <c r="G121" s="20" t="s">
        <v>74</v>
      </c>
      <c r="H121" s="20" t="s">
        <v>97</v>
      </c>
      <c r="I121" s="20" t="s">
        <v>97</v>
      </c>
      <c r="J121" s="22" t="n">
        <v>0</v>
      </c>
      <c r="K121" s="29" t="n">
        <v>100</v>
      </c>
      <c r="L121" s="18" t="s">
        <v>98</v>
      </c>
      <c r="M121" s="30"/>
      <c r="N121" s="25" t="str">
        <f aca="false">IF(AND(ISNUMBER(J121),ISNUMBER(K121),ISNUMBER(M121),K121&lt;&gt;J121),MAX(0,MIN(1,(M121-J121)/(K121-J121))),"")</f>
        <v/>
      </c>
      <c r="O121" s="26"/>
      <c r="P121" s="6"/>
      <c r="Q121" s="6"/>
    </row>
    <row r="122" customFormat="false" ht="15" hidden="false" customHeight="false" outlineLevel="0" collapsed="false">
      <c r="A122" s="6" t="s">
        <v>833</v>
      </c>
      <c r="B122" s="18" t="s">
        <v>808</v>
      </c>
      <c r="C122" s="6" t="s">
        <v>834</v>
      </c>
      <c r="E122" s="19" t="s">
        <v>97</v>
      </c>
      <c r="F122" s="20" t="s">
        <v>93</v>
      </c>
      <c r="G122" s="20" t="s">
        <v>74</v>
      </c>
      <c r="H122" s="20" t="s">
        <v>97</v>
      </c>
      <c r="I122" s="20" t="s">
        <v>97</v>
      </c>
      <c r="J122" s="22" t="n">
        <v>0</v>
      </c>
      <c r="K122" s="29" t="n">
        <v>100</v>
      </c>
      <c r="L122" s="18" t="s">
        <v>98</v>
      </c>
      <c r="M122" s="30"/>
      <c r="N122" s="25" t="str">
        <f aca="false">IF(AND(ISNUMBER(J122),ISNUMBER(K122),ISNUMBER(M122),K122&lt;&gt;J122),MAX(0,MIN(1,(M122-J122)/(K122-J122))),"")</f>
        <v/>
      </c>
      <c r="O122" s="26"/>
      <c r="P122" s="6"/>
      <c r="Q122" s="6"/>
    </row>
    <row r="123" customFormat="false" ht="24" hidden="false" customHeight="true" outlineLevel="0" collapsed="false">
      <c r="A123" s="35" t="s">
        <v>835</v>
      </c>
      <c r="B123" s="34"/>
      <c r="C123" s="34"/>
      <c r="D123" s="34"/>
      <c r="E123" s="34"/>
      <c r="F123" s="34"/>
      <c r="G123" s="34"/>
      <c r="H123" s="34"/>
      <c r="I123" s="34"/>
      <c r="J123" s="34"/>
      <c r="K123" s="34"/>
      <c r="L123" s="34"/>
      <c r="M123" s="34"/>
      <c r="N123" s="34"/>
      <c r="O123" s="34"/>
      <c r="P123" s="34"/>
      <c r="Q123" s="34"/>
    </row>
    <row r="124" customFormat="false" ht="306" hidden="false" customHeight="true" outlineLevel="0" collapsed="false">
      <c r="A124" s="12" t="s">
        <v>836</v>
      </c>
      <c r="B124" s="12" t="s">
        <v>837</v>
      </c>
      <c r="C124" s="13" t="s">
        <v>838</v>
      </c>
      <c r="D124" s="14" t="s">
        <v>839</v>
      </c>
      <c r="E124" s="15"/>
      <c r="F124" s="15"/>
      <c r="G124" s="15"/>
      <c r="H124" s="15"/>
      <c r="I124" s="15"/>
      <c r="J124" s="15"/>
      <c r="K124" s="15"/>
      <c r="L124" s="15"/>
      <c r="M124" s="16" t="s">
        <v>66</v>
      </c>
      <c r="N124" s="17" t="n">
        <f aca="false">IFERROR(AVERAGE(N125:N129),"")</f>
        <v>0.334259301129042</v>
      </c>
      <c r="O124" s="14"/>
      <c r="P124" s="14" t="s">
        <v>840</v>
      </c>
      <c r="Q124" s="14" t="s">
        <v>841</v>
      </c>
    </row>
    <row r="125" customFormat="false" ht="32.8" hidden="false" customHeight="false" outlineLevel="0" collapsed="false">
      <c r="A125" s="6" t="s">
        <v>842</v>
      </c>
      <c r="B125" s="18" t="s">
        <v>837</v>
      </c>
      <c r="C125" s="6" t="s">
        <v>88</v>
      </c>
      <c r="E125" s="19" t="s">
        <v>279</v>
      </c>
      <c r="F125" s="20" t="s">
        <v>73</v>
      </c>
      <c r="G125" s="20" t="s">
        <v>74</v>
      </c>
      <c r="H125" s="21" t="n">
        <v>10984.5</v>
      </c>
      <c r="I125" s="21" t="n">
        <v>6548.22</v>
      </c>
      <c r="J125" s="22" t="n">
        <v>0</v>
      </c>
      <c r="K125" s="23" t="n">
        <v>17186.14</v>
      </c>
      <c r="L125" s="18" t="s">
        <v>75</v>
      </c>
      <c r="M125" s="24" t="n">
        <v>6548.22</v>
      </c>
      <c r="N125" s="25" t="n">
        <f aca="false">IF(AND(ISNUMBER(J125),ISNUMBER(K125),ISNUMBER(M125),K125&lt;&gt;J125),MAX(0,MIN(1,(M125-J125)/(K125-J125))),"")</f>
        <v>0.381017494329733</v>
      </c>
      <c r="O125" s="26"/>
      <c r="P125" s="6"/>
      <c r="Q125" s="6"/>
    </row>
    <row r="126" customFormat="false" ht="32.8" hidden="false" customHeight="false" outlineLevel="0" collapsed="false">
      <c r="A126" s="6" t="s">
        <v>843</v>
      </c>
      <c r="B126" s="18" t="s">
        <v>837</v>
      </c>
      <c r="C126" s="6" t="s">
        <v>284</v>
      </c>
      <c r="E126" s="19" t="s">
        <v>285</v>
      </c>
      <c r="F126" s="20" t="s">
        <v>73</v>
      </c>
      <c r="G126" s="20" t="s">
        <v>74</v>
      </c>
      <c r="H126" s="21" t="n">
        <v>6266.36</v>
      </c>
      <c r="I126" s="21" t="n">
        <v>4082.62</v>
      </c>
      <c r="J126" s="22" t="n">
        <v>0</v>
      </c>
      <c r="K126" s="23" t="n">
        <v>8165.24</v>
      </c>
      <c r="L126" s="18" t="s">
        <v>75</v>
      </c>
      <c r="M126" s="24" t="n">
        <v>4082.62</v>
      </c>
      <c r="N126" s="25" t="n">
        <f aca="false">IF(AND(ISNUMBER(J126),ISNUMBER(K126),ISNUMBER(M126),K126&lt;&gt;J126),MAX(0,MIN(1,(M126-J126)/(K126-J126))),"")</f>
        <v>0.5</v>
      </c>
      <c r="O126" s="26"/>
      <c r="P126" s="6"/>
      <c r="Q126" s="6"/>
    </row>
    <row r="127" customFormat="false" ht="43.25" hidden="false" customHeight="false" outlineLevel="0" collapsed="false">
      <c r="A127" s="6" t="s">
        <v>844</v>
      </c>
      <c r="B127" s="18" t="s">
        <v>837</v>
      </c>
      <c r="C127" s="6" t="s">
        <v>845</v>
      </c>
      <c r="E127" s="19" t="s">
        <v>846</v>
      </c>
      <c r="F127" s="20" t="s">
        <v>73</v>
      </c>
      <c r="G127" s="20" t="s">
        <v>74</v>
      </c>
      <c r="H127" s="22" t="n">
        <v>428.31</v>
      </c>
      <c r="I127" s="22" t="n">
        <v>143.13</v>
      </c>
      <c r="J127" s="22" t="n">
        <v>0</v>
      </c>
      <c r="K127" s="29" t="n">
        <v>856.62</v>
      </c>
      <c r="L127" s="18" t="s">
        <v>847</v>
      </c>
      <c r="M127" s="27" t="n">
        <v>143.13</v>
      </c>
      <c r="N127" s="25" t="n">
        <f aca="false">IF(AND(ISNUMBER(J127),ISNUMBER(K127),ISNUMBER(M127),K127&lt;&gt;J127),MAX(0,MIN(1,(M127-J127)/(K127-J127))),"")</f>
        <v>0.167086923023044</v>
      </c>
      <c r="O127" s="26"/>
      <c r="P127" s="6"/>
      <c r="Q127" s="6"/>
    </row>
    <row r="128" customFormat="false" ht="32.8" hidden="false" customHeight="false" outlineLevel="0" collapsed="false">
      <c r="A128" s="6" t="s">
        <v>848</v>
      </c>
      <c r="B128" s="18" t="s">
        <v>837</v>
      </c>
      <c r="C128" s="6" t="s">
        <v>849</v>
      </c>
      <c r="E128" s="19" t="s">
        <v>850</v>
      </c>
      <c r="F128" s="20" t="s">
        <v>73</v>
      </c>
      <c r="G128" s="20" t="s">
        <v>74</v>
      </c>
      <c r="H128" s="22" t="n">
        <v>82.53</v>
      </c>
      <c r="I128" s="22" t="n">
        <v>238.41</v>
      </c>
      <c r="J128" s="22" t="n">
        <v>0</v>
      </c>
      <c r="K128" s="29" t="n">
        <v>825.14</v>
      </c>
      <c r="L128" s="18" t="s">
        <v>75</v>
      </c>
      <c r="M128" s="27" t="n">
        <v>238.41</v>
      </c>
      <c r="N128" s="25" t="n">
        <f aca="false">IF(AND(ISNUMBER(J128),ISNUMBER(K128),ISNUMBER(M128),K128&lt;&gt;J128),MAX(0,MIN(1,(M128-J128)/(K128-J128))),"")</f>
        <v>0.28893278716339</v>
      </c>
      <c r="O128" s="26"/>
      <c r="P128" s="6"/>
      <c r="Q128" s="6"/>
    </row>
    <row r="129" customFormat="false" ht="15" hidden="false" customHeight="false" outlineLevel="0" collapsed="false">
      <c r="A129" s="6" t="s">
        <v>851</v>
      </c>
      <c r="B129" s="18" t="s">
        <v>837</v>
      </c>
      <c r="C129" s="6" t="s">
        <v>852</v>
      </c>
      <c r="E129" s="19" t="s">
        <v>97</v>
      </c>
      <c r="F129" s="20" t="s">
        <v>93</v>
      </c>
      <c r="G129" s="20" t="s">
        <v>74</v>
      </c>
      <c r="H129" s="20" t="s">
        <v>97</v>
      </c>
      <c r="I129" s="20" t="s">
        <v>97</v>
      </c>
      <c r="J129" s="22" t="n">
        <v>0</v>
      </c>
      <c r="K129" s="29" t="n">
        <v>100</v>
      </c>
      <c r="L129" s="18" t="s">
        <v>98</v>
      </c>
      <c r="M129" s="30"/>
      <c r="N129" s="25" t="str">
        <f aca="false">IF(AND(ISNUMBER(J129),ISNUMBER(K129),ISNUMBER(M129),K129&lt;&gt;J129),MAX(0,MIN(1,(M129-J129)/(K129-J129))),"")</f>
        <v/>
      </c>
      <c r="O129" s="26"/>
      <c r="P129" s="6"/>
      <c r="Q129" s="6"/>
    </row>
    <row r="130" customFormat="false" ht="218.25" hidden="false" customHeight="true" outlineLevel="0" collapsed="false">
      <c r="A130" s="12" t="s">
        <v>853</v>
      </c>
      <c r="B130" s="12" t="s">
        <v>837</v>
      </c>
      <c r="C130" s="13" t="s">
        <v>854</v>
      </c>
      <c r="D130" s="14" t="s">
        <v>839</v>
      </c>
      <c r="E130" s="15"/>
      <c r="F130" s="15"/>
      <c r="G130" s="15"/>
      <c r="H130" s="15"/>
      <c r="I130" s="15"/>
      <c r="J130" s="15"/>
      <c r="K130" s="15"/>
      <c r="L130" s="15"/>
      <c r="M130" s="16" t="s">
        <v>66</v>
      </c>
      <c r="N130" s="17" t="n">
        <f aca="false">IFERROR(AVERAGE(N131:N135),"")</f>
        <v>0.273625687977591</v>
      </c>
      <c r="O130" s="14"/>
      <c r="P130" s="14" t="s">
        <v>855</v>
      </c>
      <c r="Q130" s="14" t="s">
        <v>856</v>
      </c>
    </row>
    <row r="131" customFormat="false" ht="32.8" hidden="false" customHeight="false" outlineLevel="0" collapsed="false">
      <c r="A131" s="6" t="s">
        <v>857</v>
      </c>
      <c r="B131" s="18" t="s">
        <v>837</v>
      </c>
      <c r="C131" s="6" t="s">
        <v>858</v>
      </c>
      <c r="E131" s="19" t="s">
        <v>859</v>
      </c>
      <c r="F131" s="20" t="s">
        <v>73</v>
      </c>
      <c r="G131" s="20" t="s">
        <v>74</v>
      </c>
      <c r="H131" s="21" t="n">
        <v>1318.76</v>
      </c>
      <c r="I131" s="22" t="n">
        <v>810.37</v>
      </c>
      <c r="J131" s="22" t="n">
        <v>0</v>
      </c>
      <c r="K131" s="23" t="n">
        <v>2480.26</v>
      </c>
      <c r="L131" s="18" t="s">
        <v>75</v>
      </c>
      <c r="M131" s="27" t="n">
        <v>810.37</v>
      </c>
      <c r="N131" s="25" t="n">
        <f aca="false">IF(AND(ISNUMBER(J131),ISNUMBER(K131),ISNUMBER(M131),K131&lt;&gt;J131),MAX(0,MIN(1,(M131-J131)/(K131-J131))),"")</f>
        <v>0.326727843048713</v>
      </c>
      <c r="O131" s="26"/>
      <c r="P131" s="6"/>
      <c r="Q131" s="6"/>
    </row>
    <row r="132" customFormat="false" ht="32.8" hidden="false" customHeight="false" outlineLevel="0" collapsed="false">
      <c r="A132" s="6" t="s">
        <v>860</v>
      </c>
      <c r="B132" s="18" t="s">
        <v>837</v>
      </c>
      <c r="C132" s="6" t="s">
        <v>861</v>
      </c>
      <c r="E132" s="19" t="s">
        <v>862</v>
      </c>
      <c r="F132" s="20" t="s">
        <v>73</v>
      </c>
      <c r="G132" s="20" t="s">
        <v>74</v>
      </c>
      <c r="H132" s="22" t="n">
        <v>928.61</v>
      </c>
      <c r="I132" s="22" t="n">
        <v>420.59</v>
      </c>
      <c r="J132" s="22" t="n">
        <v>0</v>
      </c>
      <c r="K132" s="23" t="n">
        <v>1539.04</v>
      </c>
      <c r="L132" s="18" t="s">
        <v>75</v>
      </c>
      <c r="M132" s="27" t="n">
        <v>420.59</v>
      </c>
      <c r="N132" s="25" t="n">
        <f aca="false">IF(AND(ISNUMBER(J132),ISNUMBER(K132),ISNUMBER(M132),K132&lt;&gt;J132),MAX(0,MIN(1,(M132-J132)/(K132-J132))),"")</f>
        <v>0.273280746439339</v>
      </c>
      <c r="O132" s="26"/>
      <c r="P132" s="6"/>
      <c r="Q132" s="6"/>
    </row>
    <row r="133" customFormat="false" ht="32.8" hidden="false" customHeight="false" outlineLevel="0" collapsed="false">
      <c r="A133" s="6" t="s">
        <v>863</v>
      </c>
      <c r="B133" s="18" t="s">
        <v>837</v>
      </c>
      <c r="C133" s="6" t="s">
        <v>281</v>
      </c>
      <c r="E133" s="19" t="s">
        <v>282</v>
      </c>
      <c r="F133" s="20" t="s">
        <v>73</v>
      </c>
      <c r="G133" s="20" t="s">
        <v>74</v>
      </c>
      <c r="H133" s="21" t="n">
        <v>1565.97</v>
      </c>
      <c r="I133" s="22" t="n">
        <v>755.61</v>
      </c>
      <c r="J133" s="22" t="n">
        <v>0</v>
      </c>
      <c r="K133" s="23" t="n">
        <v>2818.18</v>
      </c>
      <c r="L133" s="18" t="s">
        <v>75</v>
      </c>
      <c r="M133" s="27" t="n">
        <v>755.61</v>
      </c>
      <c r="N133" s="25" t="n">
        <f aca="false">IF(AND(ISNUMBER(J133),ISNUMBER(K133),ISNUMBER(M133),K133&lt;&gt;J133),MAX(0,MIN(1,(M133-J133)/(K133-J133))),"")</f>
        <v>0.268119850399904</v>
      </c>
      <c r="O133" s="26"/>
      <c r="P133" s="6"/>
      <c r="Q133" s="6"/>
    </row>
    <row r="134" customFormat="false" ht="32.8" hidden="false" customHeight="false" outlineLevel="0" collapsed="false">
      <c r="A134" s="6" t="s">
        <v>864</v>
      </c>
      <c r="B134" s="18" t="s">
        <v>837</v>
      </c>
      <c r="C134" s="6" t="s">
        <v>287</v>
      </c>
      <c r="E134" s="19" t="s">
        <v>288</v>
      </c>
      <c r="F134" s="20" t="s">
        <v>289</v>
      </c>
      <c r="G134" s="20" t="s">
        <v>74</v>
      </c>
      <c r="H134" s="20" t="s">
        <v>97</v>
      </c>
      <c r="I134" s="21" t="n">
        <v>536862.66</v>
      </c>
      <c r="J134" s="22" t="n">
        <v>0</v>
      </c>
      <c r="K134" s="23" t="n">
        <v>1073725.32</v>
      </c>
      <c r="L134" s="18" t="s">
        <v>75</v>
      </c>
      <c r="M134" s="24" t="n">
        <v>536862.66</v>
      </c>
      <c r="N134" s="25" t="n">
        <f aca="false">IF(AND(ISNUMBER(J134),ISNUMBER(K134),ISNUMBER(M134),K134&lt;&gt;J134),MAX(0,MIN(1,(M134-J134)/(K134-J134))),"")</f>
        <v>0.5</v>
      </c>
      <c r="O134" s="26"/>
      <c r="P134" s="6"/>
      <c r="Q134" s="6"/>
    </row>
    <row r="135" customFormat="false" ht="22.35" hidden="false" customHeight="false" outlineLevel="0" collapsed="false">
      <c r="A135" s="6" t="s">
        <v>865</v>
      </c>
      <c r="B135" s="18" t="s">
        <v>837</v>
      </c>
      <c r="C135" s="6" t="s">
        <v>866</v>
      </c>
      <c r="E135" s="19" t="s">
        <v>867</v>
      </c>
      <c r="F135" s="20" t="s">
        <v>93</v>
      </c>
      <c r="G135" s="20" t="s">
        <v>74</v>
      </c>
      <c r="H135" s="20" t="s">
        <v>97</v>
      </c>
      <c r="I135" s="22" t="n">
        <v>102.82</v>
      </c>
      <c r="J135" s="22" t="n">
        <v>102.82</v>
      </c>
      <c r="K135" s="28" t="n">
        <v>100</v>
      </c>
      <c r="L135" s="18" t="s">
        <v>405</v>
      </c>
      <c r="M135" s="27" t="n">
        <v>102.82</v>
      </c>
      <c r="N135" s="25" t="n">
        <f aca="false">IF(AND(ISNUMBER(J135),ISNUMBER(K135),ISNUMBER(M135),K135&lt;&gt;J135),MAX(0,MIN(1,(M135-J135)/(K135-J135))),"")</f>
        <v>-0</v>
      </c>
      <c r="O135" s="31" t="s">
        <v>456</v>
      </c>
      <c r="P135" s="6"/>
      <c r="Q135" s="6"/>
    </row>
    <row r="136" customFormat="false" ht="343.5" hidden="false" customHeight="true" outlineLevel="0" collapsed="false">
      <c r="A136" s="12" t="s">
        <v>868</v>
      </c>
      <c r="B136" s="12" t="s">
        <v>837</v>
      </c>
      <c r="C136" s="13" t="s">
        <v>869</v>
      </c>
      <c r="D136" s="14" t="s">
        <v>870</v>
      </c>
      <c r="E136" s="15"/>
      <c r="F136" s="15"/>
      <c r="G136" s="15"/>
      <c r="H136" s="15"/>
      <c r="I136" s="15"/>
      <c r="J136" s="15"/>
      <c r="K136" s="15"/>
      <c r="L136" s="15"/>
      <c r="M136" s="16" t="s">
        <v>66</v>
      </c>
      <c r="N136" s="17" t="n">
        <f aca="false">IFERROR(AVERAGE(N137:N141),"")</f>
        <v>0</v>
      </c>
      <c r="O136" s="14"/>
      <c r="P136" s="14" t="s">
        <v>871</v>
      </c>
      <c r="Q136" s="14" t="s">
        <v>872</v>
      </c>
    </row>
    <row r="137" customFormat="false" ht="22.35" hidden="false" customHeight="false" outlineLevel="0" collapsed="false">
      <c r="A137" s="6" t="s">
        <v>873</v>
      </c>
      <c r="B137" s="18" t="s">
        <v>837</v>
      </c>
      <c r="C137" s="6" t="s">
        <v>299</v>
      </c>
      <c r="E137" s="19" t="s">
        <v>300</v>
      </c>
      <c r="F137" s="20" t="s">
        <v>117</v>
      </c>
      <c r="G137" s="20" t="s">
        <v>118</v>
      </c>
      <c r="H137" s="22" t="n">
        <v>0.62</v>
      </c>
      <c r="I137" s="22" t="n">
        <v>1.61</v>
      </c>
      <c r="J137" s="22" t="n">
        <v>1.61</v>
      </c>
      <c r="K137" s="28" t="n">
        <v>1</v>
      </c>
      <c r="L137" s="18" t="s">
        <v>119</v>
      </c>
      <c r="M137" s="27" t="n">
        <v>1.61</v>
      </c>
      <c r="N137" s="25" t="n">
        <f aca="false">IF(AND(ISNUMBER(J137),ISNUMBER(K137),ISNUMBER(M137),K137&lt;&gt;J137),MAX(0,MIN(1,(M137-J137)/(K137-J137))),"")</f>
        <v>-0</v>
      </c>
      <c r="O137" s="31" t="s">
        <v>139</v>
      </c>
      <c r="P137" s="6"/>
      <c r="Q137" s="6"/>
    </row>
    <row r="138" customFormat="false" ht="23.85" hidden="false" customHeight="false" outlineLevel="0" collapsed="false">
      <c r="A138" s="6" t="s">
        <v>874</v>
      </c>
      <c r="B138" s="18" t="s">
        <v>837</v>
      </c>
      <c r="C138" s="6" t="s">
        <v>875</v>
      </c>
      <c r="E138" s="19" t="s">
        <v>876</v>
      </c>
      <c r="F138" s="20" t="s">
        <v>93</v>
      </c>
      <c r="G138" s="20" t="s">
        <v>118</v>
      </c>
      <c r="H138" s="20" t="s">
        <v>97</v>
      </c>
      <c r="I138" s="22" t="n">
        <v>11.76</v>
      </c>
      <c r="J138" s="22" t="n">
        <v>11.76</v>
      </c>
      <c r="K138" s="28" t="n">
        <v>7.2</v>
      </c>
      <c r="L138" s="18" t="s">
        <v>119</v>
      </c>
      <c r="M138" s="27" t="n">
        <v>11.76</v>
      </c>
      <c r="N138" s="25" t="n">
        <f aca="false">IF(AND(ISNUMBER(J138),ISNUMBER(K138),ISNUMBER(M138),K138&lt;&gt;J138),MAX(0,MIN(1,(M138-J138)/(K138-J138))),"")</f>
        <v>-0</v>
      </c>
      <c r="O138" s="26"/>
      <c r="P138" s="6"/>
      <c r="Q138" s="6"/>
    </row>
    <row r="139" customFormat="false" ht="15" hidden="false" customHeight="false" outlineLevel="0" collapsed="false">
      <c r="A139" s="6" t="s">
        <v>877</v>
      </c>
      <c r="B139" s="18" t="s">
        <v>837</v>
      </c>
      <c r="C139" s="6" t="s">
        <v>302</v>
      </c>
      <c r="E139" s="19" t="s">
        <v>303</v>
      </c>
      <c r="F139" s="20" t="s">
        <v>134</v>
      </c>
      <c r="G139" s="20" t="s">
        <v>118</v>
      </c>
      <c r="H139" s="21" t="n">
        <v>10196.3</v>
      </c>
      <c r="I139" s="21" t="n">
        <v>14021.95</v>
      </c>
      <c r="J139" s="21" t="n">
        <v>14021.95</v>
      </c>
      <c r="K139" s="32" t="n">
        <v>9000</v>
      </c>
      <c r="L139" s="18" t="s">
        <v>119</v>
      </c>
      <c r="M139" s="24" t="n">
        <v>14021.95</v>
      </c>
      <c r="N139" s="25" t="n">
        <f aca="false">IF(AND(ISNUMBER(J139),ISNUMBER(K139),ISNUMBER(M139),K139&lt;&gt;J139),MAX(0,MIN(1,(M139-J139)/(K139-J139))),"")</f>
        <v>-0</v>
      </c>
      <c r="O139" s="26"/>
      <c r="P139" s="6"/>
      <c r="Q139" s="6"/>
    </row>
    <row r="140" customFormat="false" ht="15" hidden="false" customHeight="false" outlineLevel="0" collapsed="false">
      <c r="A140" s="6" t="s">
        <v>878</v>
      </c>
      <c r="B140" s="18" t="s">
        <v>837</v>
      </c>
      <c r="C140" s="6" t="s">
        <v>879</v>
      </c>
      <c r="E140" s="19" t="s">
        <v>880</v>
      </c>
      <c r="F140" s="20" t="s">
        <v>93</v>
      </c>
      <c r="G140" s="20" t="s">
        <v>74</v>
      </c>
      <c r="H140" s="20" t="s">
        <v>97</v>
      </c>
      <c r="I140" s="22" t="n">
        <v>81.4</v>
      </c>
      <c r="J140" s="22" t="n">
        <v>81.4</v>
      </c>
      <c r="K140" s="28" t="n">
        <v>83</v>
      </c>
      <c r="L140" s="18" t="s">
        <v>119</v>
      </c>
      <c r="M140" s="27" t="n">
        <v>81.4</v>
      </c>
      <c r="N140" s="25" t="n">
        <f aca="false">IF(AND(ISNUMBER(J140),ISNUMBER(K140),ISNUMBER(M140),K140&lt;&gt;J140),MAX(0,MIN(1,(M140-J140)/(K140-J140))),"")</f>
        <v>0</v>
      </c>
      <c r="O140" s="26"/>
      <c r="P140" s="6"/>
      <c r="Q140" s="6"/>
    </row>
    <row r="141" customFormat="false" ht="15" hidden="false" customHeight="false" outlineLevel="0" collapsed="false">
      <c r="A141" s="6" t="s">
        <v>881</v>
      </c>
      <c r="B141" s="18" t="s">
        <v>837</v>
      </c>
      <c r="C141" s="6" t="s">
        <v>882</v>
      </c>
      <c r="E141" s="19" t="s">
        <v>883</v>
      </c>
      <c r="F141" s="20" t="s">
        <v>134</v>
      </c>
      <c r="G141" s="20" t="s">
        <v>118</v>
      </c>
      <c r="H141" s="22" t="n">
        <v>497.9</v>
      </c>
      <c r="I141" s="22" t="n">
        <v>571.96</v>
      </c>
      <c r="J141" s="22" t="n">
        <v>571.96</v>
      </c>
      <c r="K141" s="29" t="n">
        <v>543.362</v>
      </c>
      <c r="L141" s="18" t="s">
        <v>138</v>
      </c>
      <c r="M141" s="27" t="n">
        <v>571.96</v>
      </c>
      <c r="N141" s="25" t="n">
        <f aca="false">IF(AND(ISNUMBER(J141),ISNUMBER(K141),ISNUMBER(M141),K141&lt;&gt;J141),MAX(0,MIN(1,(M141-J141)/(K141-J141))),"")</f>
        <v>-0</v>
      </c>
      <c r="O141" s="26"/>
      <c r="P141" s="6"/>
      <c r="Q141" s="6"/>
    </row>
    <row r="142" customFormat="false" ht="24" hidden="false" customHeight="true" outlineLevel="0" collapsed="false">
      <c r="A142" s="35" t="s">
        <v>884</v>
      </c>
      <c r="B142" s="34"/>
      <c r="C142" s="34"/>
      <c r="D142" s="34"/>
      <c r="E142" s="34"/>
      <c r="F142" s="34"/>
      <c r="G142" s="34"/>
      <c r="H142" s="34"/>
      <c r="I142" s="34"/>
      <c r="J142" s="34"/>
      <c r="K142" s="34"/>
      <c r="L142" s="34"/>
      <c r="M142" s="34"/>
      <c r="N142" s="34"/>
      <c r="O142" s="34"/>
      <c r="P142" s="34"/>
      <c r="Q142" s="34"/>
    </row>
    <row r="143" customFormat="false" ht="93" hidden="false" customHeight="true" outlineLevel="0" collapsed="false">
      <c r="A143" s="12" t="s">
        <v>885</v>
      </c>
      <c r="B143" s="12" t="s">
        <v>886</v>
      </c>
      <c r="C143" s="13" t="s">
        <v>887</v>
      </c>
      <c r="D143" s="14" t="s">
        <v>810</v>
      </c>
      <c r="E143" s="15"/>
      <c r="F143" s="15"/>
      <c r="G143" s="15"/>
      <c r="H143" s="15"/>
      <c r="I143" s="15"/>
      <c r="J143" s="15"/>
      <c r="K143" s="15"/>
      <c r="L143" s="15"/>
      <c r="M143" s="16" t="s">
        <v>66</v>
      </c>
      <c r="N143" s="17" t="n">
        <f aca="false">IFERROR(AVERAGE(N144:N146),"")</f>
        <v>0</v>
      </c>
      <c r="O143" s="14"/>
      <c r="P143" s="14" t="s">
        <v>888</v>
      </c>
      <c r="Q143" s="14" t="s">
        <v>889</v>
      </c>
    </row>
    <row r="144" customFormat="false" ht="15" hidden="false" customHeight="false" outlineLevel="0" collapsed="false">
      <c r="A144" s="6" t="s">
        <v>890</v>
      </c>
      <c r="B144" s="18" t="s">
        <v>886</v>
      </c>
      <c r="C144" s="6" t="s">
        <v>891</v>
      </c>
      <c r="E144" s="19" t="s">
        <v>892</v>
      </c>
      <c r="F144" s="20" t="s">
        <v>93</v>
      </c>
      <c r="G144" s="20" t="s">
        <v>74</v>
      </c>
      <c r="H144" s="22" t="n">
        <v>96.99</v>
      </c>
      <c r="I144" s="22" t="n">
        <v>95</v>
      </c>
      <c r="J144" s="22" t="n">
        <v>95</v>
      </c>
      <c r="K144" s="28" t="n">
        <v>98</v>
      </c>
      <c r="L144" s="18" t="s">
        <v>119</v>
      </c>
      <c r="M144" s="27" t="n">
        <v>95</v>
      </c>
      <c r="N144" s="25" t="n">
        <f aca="false">IF(AND(ISNUMBER(J144),ISNUMBER(K144),ISNUMBER(M144),K144&lt;&gt;J144),MAX(0,MIN(1,(M144-J144)/(K144-J144))),"")</f>
        <v>0</v>
      </c>
      <c r="O144" s="26"/>
      <c r="P144" s="6"/>
      <c r="Q144" s="6"/>
    </row>
    <row r="145" customFormat="false" ht="15" hidden="false" customHeight="false" outlineLevel="0" collapsed="false">
      <c r="A145" s="6" t="s">
        <v>893</v>
      </c>
      <c r="B145" s="18" t="s">
        <v>886</v>
      </c>
      <c r="C145" s="6" t="s">
        <v>894</v>
      </c>
      <c r="E145" s="19" t="s">
        <v>895</v>
      </c>
      <c r="F145" s="20" t="s">
        <v>93</v>
      </c>
      <c r="G145" s="20" t="s">
        <v>74</v>
      </c>
      <c r="H145" s="22" t="n">
        <v>59.16</v>
      </c>
      <c r="I145" s="22" t="n">
        <v>51.64</v>
      </c>
      <c r="J145" s="22" t="n">
        <v>51.64</v>
      </c>
      <c r="K145" s="28" t="n">
        <v>57</v>
      </c>
      <c r="L145" s="18" t="s">
        <v>119</v>
      </c>
      <c r="M145" s="27" t="n">
        <v>51.64</v>
      </c>
      <c r="N145" s="25" t="n">
        <f aca="false">IF(AND(ISNUMBER(J145),ISNUMBER(K145),ISNUMBER(M145),K145&lt;&gt;J145),MAX(0,MIN(1,(M145-J145)/(K145-J145))),"")</f>
        <v>0</v>
      </c>
      <c r="O145" s="26"/>
      <c r="P145" s="6"/>
      <c r="Q145" s="6"/>
    </row>
    <row r="146" customFormat="false" ht="15" hidden="false" customHeight="false" outlineLevel="0" collapsed="false">
      <c r="A146" s="6" t="s">
        <v>896</v>
      </c>
      <c r="B146" s="18" t="s">
        <v>886</v>
      </c>
      <c r="C146" s="6" t="s">
        <v>897</v>
      </c>
      <c r="E146" s="19" t="s">
        <v>97</v>
      </c>
      <c r="F146" s="20" t="s">
        <v>93</v>
      </c>
      <c r="G146" s="20" t="s">
        <v>74</v>
      </c>
      <c r="H146" s="20" t="s">
        <v>97</v>
      </c>
      <c r="I146" s="20" t="s">
        <v>97</v>
      </c>
      <c r="J146" s="22" t="n">
        <v>0</v>
      </c>
      <c r="K146" s="29" t="n">
        <v>80</v>
      </c>
      <c r="L146" s="18" t="s">
        <v>98</v>
      </c>
      <c r="M146" s="30"/>
      <c r="N146" s="25" t="str">
        <f aca="false">IF(AND(ISNUMBER(J146),ISNUMBER(K146),ISNUMBER(M146),K146&lt;&gt;J146),MAX(0,MIN(1,(M146-J146)/(K146-J146))),"")</f>
        <v/>
      </c>
      <c r="O146" s="26"/>
      <c r="P146" s="6"/>
      <c r="Q146" s="6"/>
    </row>
    <row r="147" customFormat="false" ht="130.5" hidden="false" customHeight="true" outlineLevel="0" collapsed="false">
      <c r="A147" s="12" t="s">
        <v>898</v>
      </c>
      <c r="B147" s="12" t="s">
        <v>886</v>
      </c>
      <c r="C147" s="13" t="s">
        <v>899</v>
      </c>
      <c r="D147" s="14" t="s">
        <v>870</v>
      </c>
      <c r="E147" s="15"/>
      <c r="F147" s="15"/>
      <c r="G147" s="15"/>
      <c r="H147" s="15"/>
      <c r="I147" s="15"/>
      <c r="J147" s="15"/>
      <c r="K147" s="15"/>
      <c r="L147" s="15"/>
      <c r="M147" s="16" t="s">
        <v>66</v>
      </c>
      <c r="N147" s="17" t="n">
        <f aca="false">IFERROR(AVERAGE(N148:N152),"")</f>
        <v>0</v>
      </c>
      <c r="O147" s="14"/>
      <c r="P147" s="14" t="s">
        <v>900</v>
      </c>
      <c r="Q147" s="14" t="s">
        <v>901</v>
      </c>
    </row>
    <row r="148" customFormat="false" ht="15" hidden="false" customHeight="false" outlineLevel="0" collapsed="false">
      <c r="A148" s="6" t="s">
        <v>902</v>
      </c>
      <c r="B148" s="18" t="s">
        <v>886</v>
      </c>
      <c r="C148" s="6" t="s">
        <v>129</v>
      </c>
      <c r="E148" s="19" t="s">
        <v>294</v>
      </c>
      <c r="F148" s="20" t="s">
        <v>93</v>
      </c>
      <c r="G148" s="20" t="s">
        <v>74</v>
      </c>
      <c r="H148" s="20" t="s">
        <v>97</v>
      </c>
      <c r="I148" s="22" t="n">
        <v>80.14</v>
      </c>
      <c r="J148" s="22" t="n">
        <v>80.14</v>
      </c>
      <c r="K148" s="28" t="n">
        <v>82</v>
      </c>
      <c r="L148" s="18" t="s">
        <v>94</v>
      </c>
      <c r="M148" s="27" t="n">
        <v>80.14</v>
      </c>
      <c r="N148" s="25" t="n">
        <f aca="false">IF(AND(ISNUMBER(J148),ISNUMBER(K148),ISNUMBER(M148),K148&lt;&gt;J148),MAX(0,MIN(1,(M148-J148)/(K148-J148))),"")</f>
        <v>0</v>
      </c>
      <c r="O148" s="26"/>
      <c r="P148" s="6"/>
      <c r="Q148" s="6"/>
    </row>
    <row r="149" customFormat="false" ht="15" hidden="false" customHeight="false" outlineLevel="0" collapsed="false">
      <c r="A149" s="6" t="s">
        <v>903</v>
      </c>
      <c r="B149" s="18" t="s">
        <v>886</v>
      </c>
      <c r="C149" s="6" t="s">
        <v>904</v>
      </c>
      <c r="E149" s="19" t="s">
        <v>905</v>
      </c>
      <c r="F149" s="20" t="s">
        <v>93</v>
      </c>
      <c r="G149" s="20" t="s">
        <v>74</v>
      </c>
      <c r="H149" s="20" t="s">
        <v>97</v>
      </c>
      <c r="I149" s="22" t="n">
        <v>79.19</v>
      </c>
      <c r="J149" s="22" t="n">
        <v>79.19</v>
      </c>
      <c r="K149" s="28" t="n">
        <v>82</v>
      </c>
      <c r="L149" s="18" t="s">
        <v>94</v>
      </c>
      <c r="M149" s="27" t="n">
        <v>79.19</v>
      </c>
      <c r="N149" s="25" t="n">
        <f aca="false">IF(AND(ISNUMBER(J149),ISNUMBER(K149),ISNUMBER(M149),K149&lt;&gt;J149),MAX(0,MIN(1,(M149-J149)/(K149-J149))),"")</f>
        <v>0</v>
      </c>
      <c r="O149" s="26"/>
      <c r="P149" s="6"/>
      <c r="Q149" s="6"/>
    </row>
    <row r="150" customFormat="false" ht="15" hidden="false" customHeight="false" outlineLevel="0" collapsed="false">
      <c r="A150" s="6" t="s">
        <v>906</v>
      </c>
      <c r="B150" s="18" t="s">
        <v>886</v>
      </c>
      <c r="C150" s="6" t="s">
        <v>296</v>
      </c>
      <c r="E150" s="19" t="s">
        <v>297</v>
      </c>
      <c r="F150" s="20" t="s">
        <v>117</v>
      </c>
      <c r="G150" s="20" t="s">
        <v>118</v>
      </c>
      <c r="H150" s="22" t="n">
        <v>1.18</v>
      </c>
      <c r="I150" s="22" t="n">
        <v>1.78</v>
      </c>
      <c r="J150" s="22" t="n">
        <v>1.78</v>
      </c>
      <c r="K150" s="28" t="n">
        <v>1.1</v>
      </c>
      <c r="L150" s="18" t="s">
        <v>119</v>
      </c>
      <c r="M150" s="27" t="n">
        <v>1.78</v>
      </c>
      <c r="N150" s="25" t="n">
        <f aca="false">IF(AND(ISNUMBER(J150),ISNUMBER(K150),ISNUMBER(M150),K150&lt;&gt;J150),MAX(0,MIN(1,(M150-J150)/(K150-J150))),"")</f>
        <v>-0</v>
      </c>
      <c r="O150" s="26"/>
      <c r="P150" s="6"/>
      <c r="Q150" s="6"/>
    </row>
    <row r="151" customFormat="false" ht="15" hidden="false" customHeight="false" outlineLevel="0" collapsed="false">
      <c r="A151" s="6" t="s">
        <v>907</v>
      </c>
      <c r="B151" s="18" t="s">
        <v>886</v>
      </c>
      <c r="C151" s="6" t="s">
        <v>908</v>
      </c>
      <c r="E151" s="19" t="s">
        <v>909</v>
      </c>
      <c r="F151" s="20" t="s">
        <v>910</v>
      </c>
      <c r="G151" s="20" t="s">
        <v>118</v>
      </c>
      <c r="H151" s="22" t="n">
        <v>48.58</v>
      </c>
      <c r="I151" s="22" t="n">
        <v>33.31</v>
      </c>
      <c r="J151" s="22" t="n">
        <v>33.31</v>
      </c>
      <c r="K151" s="29" t="n">
        <v>31.6445</v>
      </c>
      <c r="L151" s="18" t="s">
        <v>138</v>
      </c>
      <c r="M151" s="27" t="n">
        <v>33.31</v>
      </c>
      <c r="N151" s="25" t="n">
        <f aca="false">IF(AND(ISNUMBER(J151),ISNUMBER(K151),ISNUMBER(M151),K151&lt;&gt;J151),MAX(0,MIN(1,(M151-J151)/(K151-J151))),"")</f>
        <v>-0</v>
      </c>
      <c r="O151" s="26"/>
      <c r="P151" s="6"/>
      <c r="Q151" s="6"/>
    </row>
    <row r="152" customFormat="false" ht="23.85" hidden="false" customHeight="false" outlineLevel="0" collapsed="false">
      <c r="A152" s="6" t="s">
        <v>911</v>
      </c>
      <c r="B152" s="18" t="s">
        <v>886</v>
      </c>
      <c r="C152" s="6" t="s">
        <v>912</v>
      </c>
      <c r="E152" s="19" t="s">
        <v>913</v>
      </c>
      <c r="F152" s="20" t="s">
        <v>93</v>
      </c>
      <c r="G152" s="20" t="s">
        <v>118</v>
      </c>
      <c r="H152" s="20" t="s">
        <v>97</v>
      </c>
      <c r="I152" s="22" t="n">
        <v>11.17</v>
      </c>
      <c r="J152" s="22" t="n">
        <v>11.17</v>
      </c>
      <c r="K152" s="28" t="n">
        <v>8</v>
      </c>
      <c r="L152" s="18" t="s">
        <v>119</v>
      </c>
      <c r="M152" s="27" t="n">
        <v>11.17</v>
      </c>
      <c r="N152" s="25" t="n">
        <f aca="false">IF(AND(ISNUMBER(J152),ISNUMBER(K152),ISNUMBER(M152),K152&lt;&gt;J152),MAX(0,MIN(1,(M152-J152)/(K152-J152))),"")</f>
        <v>-0</v>
      </c>
      <c r="O152" s="26"/>
      <c r="P152" s="6"/>
      <c r="Q152" s="6"/>
    </row>
    <row r="153" customFormat="false" ht="205.5" hidden="false" customHeight="true" outlineLevel="0" collapsed="false">
      <c r="A153" s="12" t="s">
        <v>914</v>
      </c>
      <c r="B153" s="12" t="s">
        <v>886</v>
      </c>
      <c r="C153" s="13" t="s">
        <v>915</v>
      </c>
      <c r="D153" s="14" t="s">
        <v>810</v>
      </c>
      <c r="E153" s="15"/>
      <c r="F153" s="15"/>
      <c r="G153" s="15"/>
      <c r="H153" s="15"/>
      <c r="I153" s="15"/>
      <c r="J153" s="15"/>
      <c r="K153" s="15"/>
      <c r="L153" s="15"/>
      <c r="M153" s="16" t="s">
        <v>66</v>
      </c>
      <c r="N153" s="17" t="n">
        <f aca="false">IFERROR(AVERAGE(N154:N157),"")</f>
        <v>0</v>
      </c>
      <c r="O153" s="14"/>
      <c r="P153" s="14" t="s">
        <v>916</v>
      </c>
      <c r="Q153" s="14" t="s">
        <v>917</v>
      </c>
    </row>
    <row r="154" customFormat="false" ht="15" hidden="false" customHeight="false" outlineLevel="0" collapsed="false">
      <c r="A154" s="6" t="s">
        <v>918</v>
      </c>
      <c r="B154" s="18" t="s">
        <v>886</v>
      </c>
      <c r="C154" s="6" t="s">
        <v>147</v>
      </c>
      <c r="E154" s="19" t="s">
        <v>308</v>
      </c>
      <c r="F154" s="20" t="s">
        <v>93</v>
      </c>
      <c r="G154" s="20" t="s">
        <v>74</v>
      </c>
      <c r="H154" s="20" t="s">
        <v>97</v>
      </c>
      <c r="I154" s="20" t="s">
        <v>97</v>
      </c>
      <c r="J154" s="20" t="s">
        <v>97</v>
      </c>
      <c r="K154" s="28" t="n">
        <v>85</v>
      </c>
      <c r="L154" s="18" t="s">
        <v>149</v>
      </c>
      <c r="M154" s="30"/>
      <c r="N154" s="25" t="str">
        <f aca="false">IF(AND(ISNUMBER(J154),ISNUMBER(K154),ISNUMBER(M154),K154&lt;&gt;J154),MAX(0,MIN(1,(M154-J154)/(K154-J154))),"")</f>
        <v/>
      </c>
      <c r="O154" s="26"/>
      <c r="P154" s="6"/>
      <c r="Q154" s="6"/>
    </row>
    <row r="155" customFormat="false" ht="15" hidden="false" customHeight="false" outlineLevel="0" collapsed="false">
      <c r="A155" s="6" t="s">
        <v>919</v>
      </c>
      <c r="B155" s="18" t="s">
        <v>886</v>
      </c>
      <c r="C155" s="6" t="s">
        <v>920</v>
      </c>
      <c r="E155" s="19" t="s">
        <v>921</v>
      </c>
      <c r="F155" s="20" t="s">
        <v>93</v>
      </c>
      <c r="G155" s="20" t="s">
        <v>118</v>
      </c>
      <c r="H155" s="22" t="n">
        <v>2</v>
      </c>
      <c r="I155" s="20" t="s">
        <v>97</v>
      </c>
      <c r="J155" s="22" t="n">
        <v>2</v>
      </c>
      <c r="K155" s="29" t="n">
        <v>1.9</v>
      </c>
      <c r="L155" s="18" t="s">
        <v>138</v>
      </c>
      <c r="M155" s="30"/>
      <c r="N155" s="25" t="str">
        <f aca="false">IF(AND(ISNUMBER(J155),ISNUMBER(K155),ISNUMBER(M155),K155&lt;&gt;J155),MAX(0,MIN(1,(M155-J155)/(K155-J155))),"")</f>
        <v/>
      </c>
      <c r="O155" s="26"/>
      <c r="P155" s="6"/>
      <c r="Q155" s="6"/>
    </row>
    <row r="156" customFormat="false" ht="15" hidden="false" customHeight="false" outlineLevel="0" collapsed="false">
      <c r="A156" s="6" t="s">
        <v>922</v>
      </c>
      <c r="B156" s="18" t="s">
        <v>886</v>
      </c>
      <c r="C156" s="6" t="s">
        <v>313</v>
      </c>
      <c r="E156" s="19" t="s">
        <v>314</v>
      </c>
      <c r="F156" s="20" t="s">
        <v>93</v>
      </c>
      <c r="G156" s="20" t="s">
        <v>74</v>
      </c>
      <c r="H156" s="22" t="n">
        <v>94.82</v>
      </c>
      <c r="I156" s="22" t="n">
        <v>95.07</v>
      </c>
      <c r="J156" s="22" t="n">
        <v>95.07</v>
      </c>
      <c r="K156" s="28" t="n">
        <v>96</v>
      </c>
      <c r="L156" s="18" t="s">
        <v>119</v>
      </c>
      <c r="M156" s="27" t="n">
        <v>95.07</v>
      </c>
      <c r="N156" s="25" t="n">
        <f aca="false">IF(AND(ISNUMBER(J156),ISNUMBER(K156),ISNUMBER(M156),K156&lt;&gt;J156),MAX(0,MIN(1,(M156-J156)/(K156-J156))),"")</f>
        <v>0</v>
      </c>
      <c r="O156" s="26"/>
      <c r="P156" s="6"/>
      <c r="Q156" s="6"/>
    </row>
    <row r="157" customFormat="false" ht="15" hidden="false" customHeight="false" outlineLevel="0" collapsed="false">
      <c r="A157" s="6" t="s">
        <v>923</v>
      </c>
      <c r="B157" s="18" t="s">
        <v>886</v>
      </c>
      <c r="C157" s="6" t="s">
        <v>924</v>
      </c>
      <c r="E157" s="19" t="s">
        <v>97</v>
      </c>
      <c r="F157" s="20" t="s">
        <v>93</v>
      </c>
      <c r="G157" s="20" t="s">
        <v>74</v>
      </c>
      <c r="H157" s="20" t="s">
        <v>97</v>
      </c>
      <c r="I157" s="20" t="s">
        <v>97</v>
      </c>
      <c r="J157" s="22" t="n">
        <v>0</v>
      </c>
      <c r="K157" s="29" t="n">
        <v>100</v>
      </c>
      <c r="L157" s="18" t="s">
        <v>98</v>
      </c>
      <c r="M157" s="30"/>
      <c r="N157" s="25" t="str">
        <f aca="false">IF(AND(ISNUMBER(J157),ISNUMBER(K157),ISNUMBER(M157),K157&lt;&gt;J157),MAX(0,MIN(1,(M157-J157)/(K157-J157))),"")</f>
        <v/>
      </c>
      <c r="O157" s="26"/>
      <c r="P157" s="6"/>
      <c r="Q157" s="6"/>
    </row>
    <row r="158" customFormat="false" ht="24" hidden="false" customHeight="true" outlineLevel="0" collapsed="false">
      <c r="A158" s="35" t="s">
        <v>925</v>
      </c>
      <c r="B158" s="34"/>
      <c r="C158" s="34"/>
      <c r="D158" s="34"/>
      <c r="E158" s="34"/>
      <c r="F158" s="34"/>
      <c r="G158" s="34"/>
      <c r="H158" s="34"/>
      <c r="I158" s="34"/>
      <c r="J158" s="34"/>
      <c r="K158" s="34"/>
      <c r="L158" s="34"/>
      <c r="M158" s="34"/>
      <c r="N158" s="34"/>
      <c r="O158" s="34"/>
      <c r="P158" s="34"/>
      <c r="Q158" s="34"/>
    </row>
    <row r="159" customFormat="false" ht="68.25" hidden="false" customHeight="true" outlineLevel="0" collapsed="false">
      <c r="A159" s="12" t="s">
        <v>926</v>
      </c>
      <c r="B159" s="12" t="s">
        <v>927</v>
      </c>
      <c r="C159" s="13" t="s">
        <v>928</v>
      </c>
      <c r="D159" s="14" t="s">
        <v>870</v>
      </c>
      <c r="E159" s="15"/>
      <c r="F159" s="15"/>
      <c r="G159" s="15"/>
      <c r="H159" s="15"/>
      <c r="I159" s="15"/>
      <c r="J159" s="15"/>
      <c r="K159" s="15"/>
      <c r="L159" s="15"/>
      <c r="M159" s="16" t="s">
        <v>66</v>
      </c>
      <c r="N159" s="17" t="str">
        <f aca="false">IFERROR(AVERAGE(N160:N161),"")</f>
        <v/>
      </c>
      <c r="O159" s="14"/>
      <c r="P159" s="14" t="s">
        <v>929</v>
      </c>
      <c r="Q159" s="14" t="s">
        <v>930</v>
      </c>
    </row>
    <row r="160" customFormat="false" ht="22.35" hidden="false" customHeight="false" outlineLevel="0" collapsed="false">
      <c r="A160" s="6" t="s">
        <v>931</v>
      </c>
      <c r="B160" s="18" t="s">
        <v>927</v>
      </c>
      <c r="C160" s="6" t="s">
        <v>932</v>
      </c>
      <c r="E160" s="19" t="s">
        <v>97</v>
      </c>
      <c r="F160" s="20" t="s">
        <v>93</v>
      </c>
      <c r="G160" s="20" t="s">
        <v>118</v>
      </c>
      <c r="H160" s="20" t="s">
        <v>97</v>
      </c>
      <c r="I160" s="20" t="s">
        <v>97</v>
      </c>
      <c r="J160" s="22" t="n">
        <v>0</v>
      </c>
      <c r="K160" s="29" t="n">
        <v>-5</v>
      </c>
      <c r="L160" s="18" t="s">
        <v>792</v>
      </c>
      <c r="M160" s="30"/>
      <c r="N160" s="25" t="str">
        <f aca="false">IF(AND(ISNUMBER(J160),ISNUMBER(K160),ISNUMBER(M160),K160&lt;&gt;J160),MAX(0,MIN(1,(M160-J160)/(K160-J160))),"")</f>
        <v/>
      </c>
      <c r="O160" s="26"/>
      <c r="P160" s="6"/>
      <c r="Q160" s="6"/>
    </row>
    <row r="161" customFormat="false" ht="15" hidden="false" customHeight="false" outlineLevel="0" collapsed="false">
      <c r="A161" s="6" t="s">
        <v>933</v>
      </c>
      <c r="B161" s="18" t="s">
        <v>927</v>
      </c>
      <c r="C161" s="6" t="s">
        <v>934</v>
      </c>
      <c r="E161" s="19" t="s">
        <v>97</v>
      </c>
      <c r="F161" s="20" t="s">
        <v>93</v>
      </c>
      <c r="G161" s="20" t="s">
        <v>74</v>
      </c>
      <c r="H161" s="20" t="s">
        <v>97</v>
      </c>
      <c r="I161" s="20" t="s">
        <v>97</v>
      </c>
      <c r="J161" s="22" t="n">
        <v>0</v>
      </c>
      <c r="K161" s="29" t="n">
        <v>100</v>
      </c>
      <c r="L161" s="18" t="s">
        <v>98</v>
      </c>
      <c r="M161" s="30"/>
      <c r="N161" s="25" t="str">
        <f aca="false">IF(AND(ISNUMBER(J161),ISNUMBER(K161),ISNUMBER(M161),K161&lt;&gt;J161),MAX(0,MIN(1,(M161-J161)/(K161-J161))),"")</f>
        <v/>
      </c>
      <c r="O161" s="26"/>
      <c r="P161" s="6"/>
      <c r="Q161" s="6"/>
    </row>
    <row r="162" customFormat="false" ht="68.25" hidden="false" customHeight="true" outlineLevel="0" collapsed="false">
      <c r="A162" s="12" t="s">
        <v>935</v>
      </c>
      <c r="B162" s="12" t="s">
        <v>927</v>
      </c>
      <c r="C162" s="13" t="s">
        <v>936</v>
      </c>
      <c r="D162" s="14" t="s">
        <v>870</v>
      </c>
      <c r="E162" s="15"/>
      <c r="F162" s="15"/>
      <c r="G162" s="15"/>
      <c r="H162" s="15"/>
      <c r="I162" s="15"/>
      <c r="J162" s="15"/>
      <c r="K162" s="15"/>
      <c r="L162" s="15"/>
      <c r="M162" s="16" t="s">
        <v>66</v>
      </c>
      <c r="N162" s="17" t="str">
        <f aca="false">IFERROR(AVERAGE(N163:N164),"")</f>
        <v/>
      </c>
      <c r="O162" s="14"/>
      <c r="P162" s="14" t="s">
        <v>937</v>
      </c>
      <c r="Q162" s="14" t="s">
        <v>938</v>
      </c>
    </row>
    <row r="163" customFormat="false" ht="15" hidden="false" customHeight="false" outlineLevel="0" collapsed="false">
      <c r="A163" s="6" t="s">
        <v>939</v>
      </c>
      <c r="B163" s="18" t="s">
        <v>927</v>
      </c>
      <c r="C163" s="6" t="s">
        <v>940</v>
      </c>
      <c r="E163" s="19" t="s">
        <v>97</v>
      </c>
      <c r="F163" s="20" t="s">
        <v>93</v>
      </c>
      <c r="G163" s="20" t="s">
        <v>74</v>
      </c>
      <c r="H163" s="20" t="s">
        <v>97</v>
      </c>
      <c r="I163" s="20" t="s">
        <v>97</v>
      </c>
      <c r="J163" s="22" t="n">
        <v>0</v>
      </c>
      <c r="K163" s="29" t="n">
        <v>90</v>
      </c>
      <c r="L163" s="18" t="s">
        <v>98</v>
      </c>
      <c r="M163" s="30"/>
      <c r="N163" s="25" t="str">
        <f aca="false">IF(AND(ISNUMBER(J163),ISNUMBER(K163),ISNUMBER(M163),K163&lt;&gt;J163),MAX(0,MIN(1,(M163-J163)/(K163-J163))),"")</f>
        <v/>
      </c>
      <c r="O163" s="26"/>
      <c r="P163" s="6"/>
      <c r="Q163" s="6"/>
    </row>
    <row r="164" customFormat="false" ht="15" hidden="false" customHeight="false" outlineLevel="0" collapsed="false">
      <c r="A164" s="6" t="s">
        <v>941</v>
      </c>
      <c r="B164" s="18" t="s">
        <v>927</v>
      </c>
      <c r="C164" s="6" t="s">
        <v>942</v>
      </c>
      <c r="E164" s="19" t="s">
        <v>97</v>
      </c>
      <c r="F164" s="20" t="s">
        <v>93</v>
      </c>
      <c r="G164" s="20" t="s">
        <v>74</v>
      </c>
      <c r="H164" s="20" t="s">
        <v>97</v>
      </c>
      <c r="I164" s="20" t="s">
        <v>97</v>
      </c>
      <c r="J164" s="22" t="n">
        <v>0</v>
      </c>
      <c r="K164" s="29" t="n">
        <v>100</v>
      </c>
      <c r="L164" s="18" t="s">
        <v>98</v>
      </c>
      <c r="M164" s="30"/>
      <c r="N164" s="25" t="str">
        <f aca="false">IF(AND(ISNUMBER(J164),ISNUMBER(K164),ISNUMBER(M164),K164&lt;&gt;J164),MAX(0,MIN(1,(M164-J164)/(K164-J164))),"")</f>
        <v/>
      </c>
      <c r="O164" s="26"/>
      <c r="P164" s="6"/>
      <c r="Q164" s="6"/>
    </row>
    <row r="165" customFormat="false" ht="318" hidden="false" customHeight="true" outlineLevel="0" collapsed="false">
      <c r="A165" s="12" t="s">
        <v>943</v>
      </c>
      <c r="B165" s="12" t="s">
        <v>927</v>
      </c>
      <c r="C165" s="13" t="s">
        <v>944</v>
      </c>
      <c r="D165" s="14" t="s">
        <v>810</v>
      </c>
      <c r="E165" s="15"/>
      <c r="F165" s="15"/>
      <c r="G165" s="15"/>
      <c r="H165" s="15"/>
      <c r="I165" s="15"/>
      <c r="J165" s="15"/>
      <c r="K165" s="15"/>
      <c r="L165" s="15"/>
      <c r="M165" s="16" t="s">
        <v>66</v>
      </c>
      <c r="N165" s="17" t="n">
        <f aca="false">IFERROR(AVERAGE(N166:N168),"")</f>
        <v>0</v>
      </c>
      <c r="O165" s="14"/>
      <c r="P165" s="14" t="s">
        <v>945</v>
      </c>
      <c r="Q165" s="14" t="s">
        <v>946</v>
      </c>
    </row>
    <row r="166" customFormat="false" ht="15" hidden="false" customHeight="false" outlineLevel="0" collapsed="false">
      <c r="A166" s="6" t="s">
        <v>947</v>
      </c>
      <c r="B166" s="18" t="s">
        <v>927</v>
      </c>
      <c r="C166" s="6" t="s">
        <v>316</v>
      </c>
      <c r="E166" s="19" t="s">
        <v>317</v>
      </c>
      <c r="F166" s="20" t="s">
        <v>79</v>
      </c>
      <c r="G166" s="20" t="s">
        <v>74</v>
      </c>
      <c r="H166" s="22" t="n">
        <v>60</v>
      </c>
      <c r="I166" s="22" t="n">
        <v>60</v>
      </c>
      <c r="J166" s="22" t="n">
        <v>60</v>
      </c>
      <c r="K166" s="28" t="n">
        <v>70</v>
      </c>
      <c r="L166" s="18" t="s">
        <v>119</v>
      </c>
      <c r="M166" s="27" t="n">
        <v>60</v>
      </c>
      <c r="N166" s="25" t="n">
        <f aca="false">IF(AND(ISNUMBER(J166),ISNUMBER(K166),ISNUMBER(M166),K166&lt;&gt;J166),MAX(0,MIN(1,(M166-J166)/(K166-J166))),"")</f>
        <v>0</v>
      </c>
      <c r="O166" s="26"/>
      <c r="P166" s="6"/>
      <c r="Q166" s="6"/>
    </row>
    <row r="167" customFormat="false" ht="15" hidden="false" customHeight="false" outlineLevel="0" collapsed="false">
      <c r="A167" s="6" t="s">
        <v>948</v>
      </c>
      <c r="B167" s="18" t="s">
        <v>927</v>
      </c>
      <c r="C167" s="6" t="s">
        <v>949</v>
      </c>
      <c r="E167" s="19" t="s">
        <v>97</v>
      </c>
      <c r="F167" s="20" t="s">
        <v>79</v>
      </c>
      <c r="G167" s="20" t="s">
        <v>74</v>
      </c>
      <c r="H167" s="20" t="s">
        <v>97</v>
      </c>
      <c r="I167" s="20" t="s">
        <v>97</v>
      </c>
      <c r="J167" s="22" t="n">
        <v>0</v>
      </c>
      <c r="K167" s="29" t="n">
        <v>4</v>
      </c>
      <c r="L167" s="18" t="s">
        <v>98</v>
      </c>
      <c r="M167" s="30"/>
      <c r="N167" s="25" t="str">
        <f aca="false">IF(AND(ISNUMBER(J167),ISNUMBER(K167),ISNUMBER(M167),K167&lt;&gt;J167),MAX(0,MIN(1,(M167-J167)/(K167-J167))),"")</f>
        <v/>
      </c>
      <c r="O167" s="26"/>
      <c r="P167" s="6"/>
      <c r="Q167" s="6"/>
    </row>
    <row r="168" customFormat="false" ht="15" hidden="false" customHeight="false" outlineLevel="0" collapsed="false">
      <c r="A168" s="6" t="s">
        <v>950</v>
      </c>
      <c r="B168" s="18" t="s">
        <v>927</v>
      </c>
      <c r="C168" s="6" t="s">
        <v>951</v>
      </c>
      <c r="E168" s="19" t="s">
        <v>97</v>
      </c>
      <c r="F168" s="20" t="s">
        <v>910</v>
      </c>
      <c r="G168" s="20" t="s">
        <v>118</v>
      </c>
      <c r="H168" s="20" t="s">
        <v>97</v>
      </c>
      <c r="I168" s="20" t="s">
        <v>97</v>
      </c>
      <c r="J168" s="20" t="s">
        <v>97</v>
      </c>
      <c r="K168" s="29" t="n">
        <v>4</v>
      </c>
      <c r="L168" s="18" t="s">
        <v>98</v>
      </c>
      <c r="M168" s="30"/>
      <c r="N168" s="25" t="str">
        <f aca="false">IF(AND(ISNUMBER(J168),ISNUMBER(K168),ISNUMBER(M168),K168&lt;&gt;J168),MAX(0,MIN(1,(M168-J168)/(K168-J168))),"")</f>
        <v/>
      </c>
      <c r="O168" s="26"/>
      <c r="P168" s="6"/>
      <c r="Q168" s="6"/>
    </row>
    <row r="169" customFormat="false" ht="24" hidden="false" customHeight="true" outlineLevel="0" collapsed="false">
      <c r="A169" s="35" t="s">
        <v>952</v>
      </c>
      <c r="B169" s="34"/>
      <c r="C169" s="34"/>
      <c r="D169" s="34"/>
      <c r="E169" s="34"/>
      <c r="F169" s="34"/>
      <c r="G169" s="34"/>
      <c r="H169" s="34"/>
      <c r="I169" s="34"/>
      <c r="J169" s="34"/>
      <c r="K169" s="34"/>
      <c r="L169" s="34"/>
      <c r="M169" s="34"/>
      <c r="N169" s="34"/>
      <c r="O169" s="34"/>
      <c r="P169" s="34"/>
      <c r="Q169" s="34"/>
    </row>
    <row r="170" customFormat="false" ht="231" hidden="false" customHeight="true" outlineLevel="0" collapsed="false">
      <c r="A170" s="12" t="s">
        <v>953</v>
      </c>
      <c r="B170" s="12" t="s">
        <v>954</v>
      </c>
      <c r="C170" s="13" t="s">
        <v>955</v>
      </c>
      <c r="D170" s="14" t="s">
        <v>956</v>
      </c>
      <c r="E170" s="15"/>
      <c r="F170" s="15"/>
      <c r="G170" s="15"/>
      <c r="H170" s="15"/>
      <c r="I170" s="15"/>
      <c r="J170" s="15"/>
      <c r="K170" s="15"/>
      <c r="L170" s="15"/>
      <c r="M170" s="16" t="s">
        <v>66</v>
      </c>
      <c r="N170" s="17" t="n">
        <f aca="false">IFERROR(AVERAGE(N171:N174),"")</f>
        <v>0.160363768942638</v>
      </c>
      <c r="O170" s="14"/>
      <c r="P170" s="14" t="s">
        <v>957</v>
      </c>
      <c r="Q170" s="14" t="s">
        <v>958</v>
      </c>
    </row>
    <row r="171" customFormat="false" ht="32.8" hidden="false" customHeight="false" outlineLevel="0" collapsed="false">
      <c r="A171" s="6" t="s">
        <v>959</v>
      </c>
      <c r="B171" s="18" t="s">
        <v>954</v>
      </c>
      <c r="C171" s="6" t="s">
        <v>327</v>
      </c>
      <c r="E171" s="19" t="s">
        <v>328</v>
      </c>
      <c r="F171" s="20" t="s">
        <v>73</v>
      </c>
      <c r="G171" s="20" t="s">
        <v>74</v>
      </c>
      <c r="H171" s="21" t="n">
        <v>3803.49</v>
      </c>
      <c r="I171" s="21" t="n">
        <v>1158.82</v>
      </c>
      <c r="J171" s="22" t="n">
        <v>0</v>
      </c>
      <c r="K171" s="23" t="n">
        <v>7589.3</v>
      </c>
      <c r="L171" s="18" t="s">
        <v>75</v>
      </c>
      <c r="M171" s="24" t="n">
        <v>1158.82</v>
      </c>
      <c r="N171" s="25" t="n">
        <f aca="false">IF(AND(ISNUMBER(J171),ISNUMBER(K171),ISNUMBER(M171),K171&lt;&gt;J171),MAX(0,MIN(1,(M171-J171)/(K171-J171))),"")</f>
        <v>0.152691289051691</v>
      </c>
      <c r="O171" s="26"/>
      <c r="P171" s="6"/>
      <c r="Q171" s="6"/>
    </row>
    <row r="172" customFormat="false" ht="43.25" hidden="false" customHeight="false" outlineLevel="0" collapsed="false">
      <c r="A172" s="6" t="s">
        <v>960</v>
      </c>
      <c r="B172" s="18" t="s">
        <v>954</v>
      </c>
      <c r="C172" s="6" t="s">
        <v>961</v>
      </c>
      <c r="E172" s="19" t="s">
        <v>962</v>
      </c>
      <c r="F172" s="20" t="s">
        <v>73</v>
      </c>
      <c r="G172" s="20" t="s">
        <v>74</v>
      </c>
      <c r="H172" s="21" t="n">
        <v>1710.38</v>
      </c>
      <c r="I172" s="22" t="n">
        <v>528.85</v>
      </c>
      <c r="J172" s="22" t="n">
        <v>0</v>
      </c>
      <c r="K172" s="23" t="n">
        <v>3420.76</v>
      </c>
      <c r="L172" s="18" t="s">
        <v>83</v>
      </c>
      <c r="M172" s="27" t="n">
        <v>528.85</v>
      </c>
      <c r="N172" s="25" t="n">
        <f aca="false">IF(AND(ISNUMBER(J172),ISNUMBER(K172),ISNUMBER(M172),K172&lt;&gt;J172),MAX(0,MIN(1,(M172-J172)/(K172-J172))),"")</f>
        <v>0.15460014733568</v>
      </c>
      <c r="O172" s="26"/>
      <c r="P172" s="6"/>
      <c r="Q172" s="6"/>
    </row>
    <row r="173" customFormat="false" ht="32.8" hidden="false" customHeight="false" outlineLevel="0" collapsed="false">
      <c r="A173" s="6" t="s">
        <v>963</v>
      </c>
      <c r="B173" s="18" t="s">
        <v>954</v>
      </c>
      <c r="C173" s="6" t="s">
        <v>964</v>
      </c>
      <c r="E173" s="19" t="s">
        <v>965</v>
      </c>
      <c r="F173" s="20" t="s">
        <v>79</v>
      </c>
      <c r="G173" s="20" t="s">
        <v>74</v>
      </c>
      <c r="H173" s="21" t="n">
        <v>697470</v>
      </c>
      <c r="I173" s="21" t="n">
        <v>113228</v>
      </c>
      <c r="J173" s="22" t="n">
        <v>0</v>
      </c>
      <c r="K173" s="23" t="n">
        <v>842000</v>
      </c>
      <c r="L173" s="18" t="s">
        <v>75</v>
      </c>
      <c r="M173" s="24" t="n">
        <v>113228</v>
      </c>
      <c r="N173" s="25" t="n">
        <f aca="false">IF(AND(ISNUMBER(J173),ISNUMBER(K173),ISNUMBER(M173),K173&lt;&gt;J173),MAX(0,MIN(1,(M173-J173)/(K173-J173))),"")</f>
        <v>0.134475059382423</v>
      </c>
      <c r="O173" s="26"/>
      <c r="P173" s="6"/>
      <c r="Q173" s="6"/>
    </row>
    <row r="174" customFormat="false" ht="32.8" hidden="false" customHeight="false" outlineLevel="0" collapsed="false">
      <c r="A174" s="6" t="s">
        <v>966</v>
      </c>
      <c r="B174" s="18" t="s">
        <v>954</v>
      </c>
      <c r="C174" s="6" t="s">
        <v>967</v>
      </c>
      <c r="E174" s="19" t="s">
        <v>968</v>
      </c>
      <c r="F174" s="20" t="s">
        <v>73</v>
      </c>
      <c r="G174" s="20" t="s">
        <v>74</v>
      </c>
      <c r="H174" s="21" t="n">
        <v>2092.74</v>
      </c>
      <c r="I174" s="22" t="n">
        <v>630.96</v>
      </c>
      <c r="J174" s="22" t="n">
        <v>0</v>
      </c>
      <c r="K174" s="23" t="n">
        <v>3159.72</v>
      </c>
      <c r="L174" s="18" t="s">
        <v>75</v>
      </c>
      <c r="M174" s="27" t="n">
        <v>630.96</v>
      </c>
      <c r="N174" s="25" t="n">
        <f aca="false">IF(AND(ISNUMBER(J174),ISNUMBER(K174),ISNUMBER(M174),K174&lt;&gt;J174),MAX(0,MIN(1,(M174-J174)/(K174-J174))),"")</f>
        <v>0.19968858000076</v>
      </c>
      <c r="O174" s="26"/>
      <c r="P174" s="6"/>
      <c r="Q174" s="6"/>
    </row>
    <row r="175" customFormat="false" ht="45" hidden="false" customHeight="true" outlineLevel="0" collapsed="false">
      <c r="A175" s="12" t="s">
        <v>969</v>
      </c>
      <c r="B175" s="12" t="s">
        <v>954</v>
      </c>
      <c r="C175" s="13" t="s">
        <v>970</v>
      </c>
      <c r="D175" s="14" t="s">
        <v>971</v>
      </c>
      <c r="E175" s="15"/>
      <c r="F175" s="15"/>
      <c r="G175" s="15"/>
      <c r="H175" s="15"/>
      <c r="I175" s="15"/>
      <c r="J175" s="15"/>
      <c r="K175" s="15"/>
      <c r="L175" s="15"/>
      <c r="M175" s="16" t="s">
        <v>66</v>
      </c>
      <c r="N175" s="17" t="n">
        <f aca="false">IFERROR(AVERAGE(N176:N177),"")</f>
        <v>0</v>
      </c>
      <c r="O175" s="14"/>
      <c r="P175" s="14" t="s">
        <v>972</v>
      </c>
      <c r="Q175" s="14" t="s">
        <v>973</v>
      </c>
    </row>
    <row r="176" customFormat="false" ht="15" hidden="false" customHeight="false" outlineLevel="0" collapsed="false">
      <c r="A176" s="6" t="s">
        <v>974</v>
      </c>
      <c r="B176" s="18" t="s">
        <v>954</v>
      </c>
      <c r="C176" s="6" t="s">
        <v>975</v>
      </c>
      <c r="E176" s="19" t="s">
        <v>976</v>
      </c>
      <c r="F176" s="20" t="s">
        <v>93</v>
      </c>
      <c r="G176" s="20" t="s">
        <v>74</v>
      </c>
      <c r="H176" s="20" t="s">
        <v>97</v>
      </c>
      <c r="I176" s="22" t="n">
        <v>22</v>
      </c>
      <c r="J176" s="22" t="n">
        <v>22</v>
      </c>
      <c r="K176" s="29" t="n">
        <v>23.1</v>
      </c>
      <c r="L176" s="18" t="s">
        <v>138</v>
      </c>
      <c r="M176" s="27" t="n">
        <v>22</v>
      </c>
      <c r="N176" s="25" t="n">
        <f aca="false">IF(AND(ISNUMBER(J176),ISNUMBER(K176),ISNUMBER(M176),K176&lt;&gt;J176),MAX(0,MIN(1,(M176-J176)/(K176-J176))),"")</f>
        <v>0</v>
      </c>
      <c r="O176" s="26"/>
      <c r="P176" s="6"/>
      <c r="Q176" s="6"/>
    </row>
    <row r="177" customFormat="false" ht="15" hidden="false" customHeight="false" outlineLevel="0" collapsed="false">
      <c r="A177" s="6" t="s">
        <v>977</v>
      </c>
      <c r="B177" s="18" t="s">
        <v>954</v>
      </c>
      <c r="C177" s="6" t="s">
        <v>978</v>
      </c>
      <c r="E177" s="19" t="s">
        <v>97</v>
      </c>
      <c r="F177" s="20" t="s">
        <v>79</v>
      </c>
      <c r="G177" s="20" t="s">
        <v>74</v>
      </c>
      <c r="H177" s="20" t="s">
        <v>97</v>
      </c>
      <c r="I177" s="20" t="s">
        <v>97</v>
      </c>
      <c r="J177" s="22" t="n">
        <v>0</v>
      </c>
      <c r="K177" s="29" t="n">
        <v>4</v>
      </c>
      <c r="L177" s="18" t="s">
        <v>98</v>
      </c>
      <c r="M177" s="30"/>
      <c r="N177" s="25" t="str">
        <f aca="false">IF(AND(ISNUMBER(J177),ISNUMBER(K177),ISNUMBER(M177),K177&lt;&gt;J177),MAX(0,MIN(1,(M177-J177)/(K177-J177))),"")</f>
        <v/>
      </c>
      <c r="O177" s="26"/>
      <c r="P177" s="6"/>
      <c r="Q177" s="6"/>
    </row>
    <row r="178" customFormat="false" ht="143.25" hidden="false" customHeight="true" outlineLevel="0" collapsed="false">
      <c r="A178" s="12" t="s">
        <v>979</v>
      </c>
      <c r="B178" s="12" t="s">
        <v>954</v>
      </c>
      <c r="C178" s="13" t="s">
        <v>980</v>
      </c>
      <c r="D178" s="14" t="s">
        <v>971</v>
      </c>
      <c r="E178" s="15"/>
      <c r="F178" s="15"/>
      <c r="G178" s="15"/>
      <c r="H178" s="15"/>
      <c r="I178" s="15"/>
      <c r="J178" s="15"/>
      <c r="K178" s="15"/>
      <c r="L178" s="15"/>
      <c r="M178" s="16" t="s">
        <v>66</v>
      </c>
      <c r="N178" s="17" t="n">
        <f aca="false">IFERROR(AVERAGE(N179:N182),"")</f>
        <v>0.125</v>
      </c>
      <c r="O178" s="14"/>
      <c r="P178" s="14" t="s">
        <v>981</v>
      </c>
      <c r="Q178" s="14" t="s">
        <v>982</v>
      </c>
    </row>
    <row r="179" customFormat="false" ht="15" hidden="false" customHeight="false" outlineLevel="0" collapsed="false">
      <c r="A179" s="6" t="s">
        <v>983</v>
      </c>
      <c r="B179" s="18" t="s">
        <v>954</v>
      </c>
      <c r="C179" s="6" t="s">
        <v>984</v>
      </c>
      <c r="E179" s="19" t="s">
        <v>985</v>
      </c>
      <c r="F179" s="20" t="s">
        <v>93</v>
      </c>
      <c r="G179" s="20" t="s">
        <v>74</v>
      </c>
      <c r="H179" s="22" t="n">
        <v>42.02</v>
      </c>
      <c r="I179" s="22" t="n">
        <v>29.5</v>
      </c>
      <c r="J179" s="22" t="n">
        <v>29.5</v>
      </c>
      <c r="K179" s="28" t="n">
        <v>100</v>
      </c>
      <c r="L179" s="18" t="s">
        <v>119</v>
      </c>
      <c r="M179" s="27" t="n">
        <v>29.5</v>
      </c>
      <c r="N179" s="25" t="n">
        <f aca="false">IF(AND(ISNUMBER(J179),ISNUMBER(K179),ISNUMBER(M179),K179&lt;&gt;J179),MAX(0,MIN(1,(M179-J179)/(K179-J179))),"")</f>
        <v>0</v>
      </c>
      <c r="O179" s="26"/>
      <c r="P179" s="6"/>
      <c r="Q179" s="6"/>
    </row>
    <row r="180" customFormat="false" ht="43.25" hidden="false" customHeight="false" outlineLevel="0" collapsed="false">
      <c r="A180" s="6" t="s">
        <v>986</v>
      </c>
      <c r="B180" s="18" t="s">
        <v>954</v>
      </c>
      <c r="C180" s="6" t="s">
        <v>987</v>
      </c>
      <c r="E180" s="19" t="s">
        <v>988</v>
      </c>
      <c r="F180" s="20" t="s">
        <v>73</v>
      </c>
      <c r="G180" s="20" t="s">
        <v>74</v>
      </c>
      <c r="H180" s="21" t="n">
        <v>2186</v>
      </c>
      <c r="I180" s="21" t="n">
        <v>1824</v>
      </c>
      <c r="J180" s="22" t="n">
        <v>0</v>
      </c>
      <c r="K180" s="23" t="n">
        <v>7296</v>
      </c>
      <c r="L180" s="18" t="s">
        <v>989</v>
      </c>
      <c r="M180" s="24" t="n">
        <v>1824</v>
      </c>
      <c r="N180" s="25" t="n">
        <f aca="false">IF(AND(ISNUMBER(J180),ISNUMBER(K180),ISNUMBER(M180),K180&lt;&gt;J180),MAX(0,MIN(1,(M180-J180)/(K180-J180))),"")</f>
        <v>0.25</v>
      </c>
      <c r="O180" s="26"/>
      <c r="P180" s="6"/>
      <c r="Q180" s="6"/>
    </row>
    <row r="181" customFormat="false" ht="15" hidden="false" customHeight="false" outlineLevel="0" collapsed="false">
      <c r="A181" s="6" t="s">
        <v>990</v>
      </c>
      <c r="B181" s="18" t="s">
        <v>954</v>
      </c>
      <c r="C181" s="6" t="s">
        <v>991</v>
      </c>
      <c r="E181" s="19" t="s">
        <v>97</v>
      </c>
      <c r="F181" s="20" t="s">
        <v>79</v>
      </c>
      <c r="G181" s="20" t="s">
        <v>74</v>
      </c>
      <c r="H181" s="20" t="s">
        <v>97</v>
      </c>
      <c r="I181" s="20" t="s">
        <v>97</v>
      </c>
      <c r="J181" s="22" t="n">
        <v>0</v>
      </c>
      <c r="K181" s="29" t="n">
        <v>3</v>
      </c>
      <c r="L181" s="18" t="s">
        <v>98</v>
      </c>
      <c r="M181" s="30"/>
      <c r="N181" s="25" t="str">
        <f aca="false">IF(AND(ISNUMBER(J181),ISNUMBER(K181),ISNUMBER(M181),K181&lt;&gt;J181),MAX(0,MIN(1,(M181-J181)/(K181-J181))),"")</f>
        <v/>
      </c>
      <c r="O181" s="26"/>
      <c r="P181" s="6"/>
      <c r="Q181" s="6"/>
    </row>
    <row r="182" customFormat="false" ht="15" hidden="false" customHeight="false" outlineLevel="0" collapsed="false">
      <c r="A182" s="6" t="s">
        <v>992</v>
      </c>
      <c r="B182" s="18" t="s">
        <v>954</v>
      </c>
      <c r="C182" s="6" t="s">
        <v>993</v>
      </c>
      <c r="E182" s="19" t="s">
        <v>97</v>
      </c>
      <c r="F182" s="20" t="s">
        <v>79</v>
      </c>
      <c r="G182" s="20" t="s">
        <v>74</v>
      </c>
      <c r="H182" s="20" t="s">
        <v>97</v>
      </c>
      <c r="I182" s="20" t="s">
        <v>97</v>
      </c>
      <c r="J182" s="22" t="n">
        <v>0</v>
      </c>
      <c r="K182" s="29" t="n">
        <v>1</v>
      </c>
      <c r="L182" s="18" t="s">
        <v>98</v>
      </c>
      <c r="M182" s="30"/>
      <c r="N182" s="25" t="str">
        <f aca="false">IF(AND(ISNUMBER(J182),ISNUMBER(K182),ISNUMBER(M182),K182&lt;&gt;J182),MAX(0,MIN(1,(M182-J182)/(K182-J182))),"")</f>
        <v/>
      </c>
      <c r="O182" s="26"/>
      <c r="P182" s="6"/>
      <c r="Q182" s="6"/>
    </row>
    <row r="183" customFormat="false" ht="180.75" hidden="false" customHeight="true" outlineLevel="0" collapsed="false">
      <c r="A183" s="12" t="s">
        <v>994</v>
      </c>
      <c r="B183" s="12" t="s">
        <v>954</v>
      </c>
      <c r="C183" s="13" t="s">
        <v>995</v>
      </c>
      <c r="D183" s="14" t="s">
        <v>971</v>
      </c>
      <c r="E183" s="15"/>
      <c r="F183" s="15"/>
      <c r="G183" s="15"/>
      <c r="H183" s="15"/>
      <c r="I183" s="15"/>
      <c r="J183" s="15"/>
      <c r="K183" s="15"/>
      <c r="L183" s="15"/>
      <c r="M183" s="16" t="s">
        <v>66</v>
      </c>
      <c r="N183" s="17" t="n">
        <f aca="false">IFERROR(AVERAGE(N184:N186),"")</f>
        <v>0</v>
      </c>
      <c r="O183" s="14"/>
      <c r="P183" s="14" t="s">
        <v>996</v>
      </c>
      <c r="Q183" s="14" t="s">
        <v>997</v>
      </c>
    </row>
    <row r="184" customFormat="false" ht="15" hidden="false" customHeight="false" outlineLevel="0" collapsed="false">
      <c r="A184" s="6" t="s">
        <v>998</v>
      </c>
      <c r="B184" s="18" t="s">
        <v>954</v>
      </c>
      <c r="C184" s="6" t="s">
        <v>342</v>
      </c>
      <c r="E184" s="19" t="s">
        <v>343</v>
      </c>
      <c r="F184" s="20" t="s">
        <v>93</v>
      </c>
      <c r="G184" s="20" t="s">
        <v>74</v>
      </c>
      <c r="H184" s="20" t="s">
        <v>97</v>
      </c>
      <c r="I184" s="22" t="n">
        <v>80.35</v>
      </c>
      <c r="J184" s="22" t="n">
        <v>80.35</v>
      </c>
      <c r="K184" s="28" t="n">
        <v>87</v>
      </c>
      <c r="L184" s="18" t="s">
        <v>119</v>
      </c>
      <c r="M184" s="27" t="n">
        <v>80.35</v>
      </c>
      <c r="N184" s="25" t="n">
        <f aca="false">IF(AND(ISNUMBER(J184),ISNUMBER(K184),ISNUMBER(M184),K184&lt;&gt;J184),MAX(0,MIN(1,(M184-J184)/(K184-J184))),"")</f>
        <v>0</v>
      </c>
      <c r="O184" s="26"/>
      <c r="P184" s="6"/>
      <c r="Q184" s="6"/>
    </row>
    <row r="185" customFormat="false" ht="15" hidden="false" customHeight="false" outlineLevel="0" collapsed="false">
      <c r="A185" s="6" t="s">
        <v>999</v>
      </c>
      <c r="B185" s="18" t="s">
        <v>954</v>
      </c>
      <c r="C185" s="6" t="s">
        <v>1000</v>
      </c>
      <c r="E185" s="19" t="s">
        <v>1001</v>
      </c>
      <c r="F185" s="20" t="s">
        <v>93</v>
      </c>
      <c r="G185" s="20" t="s">
        <v>74</v>
      </c>
      <c r="H185" s="20" t="s">
        <v>97</v>
      </c>
      <c r="I185" s="22" t="n">
        <v>64.75</v>
      </c>
      <c r="J185" s="22" t="n">
        <v>64.75</v>
      </c>
      <c r="K185" s="28" t="n">
        <v>69</v>
      </c>
      <c r="L185" s="18" t="s">
        <v>119</v>
      </c>
      <c r="M185" s="27" t="n">
        <v>64.75</v>
      </c>
      <c r="N185" s="25" t="n">
        <f aca="false">IF(AND(ISNUMBER(J185),ISNUMBER(K185),ISNUMBER(M185),K185&lt;&gt;J185),MAX(0,MIN(1,(M185-J185)/(K185-J185))),"")</f>
        <v>0</v>
      </c>
      <c r="O185" s="26"/>
      <c r="P185" s="6"/>
      <c r="Q185" s="6"/>
    </row>
    <row r="186" customFormat="false" ht="15" hidden="false" customHeight="false" outlineLevel="0" collapsed="false">
      <c r="A186" s="6" t="s">
        <v>1002</v>
      </c>
      <c r="B186" s="18" t="s">
        <v>954</v>
      </c>
      <c r="C186" s="6" t="s">
        <v>1003</v>
      </c>
      <c r="E186" s="19" t="s">
        <v>1004</v>
      </c>
      <c r="F186" s="20" t="s">
        <v>93</v>
      </c>
      <c r="G186" s="20" t="s">
        <v>74</v>
      </c>
      <c r="H186" s="20" t="s">
        <v>97</v>
      </c>
      <c r="I186" s="22" t="n">
        <v>72.55</v>
      </c>
      <c r="J186" s="22" t="n">
        <v>72.55</v>
      </c>
      <c r="K186" s="28" t="n">
        <v>78</v>
      </c>
      <c r="L186" s="18" t="s">
        <v>119</v>
      </c>
      <c r="M186" s="27" t="n">
        <v>72.55</v>
      </c>
      <c r="N186" s="25" t="n">
        <f aca="false">IF(AND(ISNUMBER(J186),ISNUMBER(K186),ISNUMBER(M186),K186&lt;&gt;J186),MAX(0,MIN(1,(M186-J186)/(K186-J186))),"")</f>
        <v>0</v>
      </c>
      <c r="O186" s="26"/>
      <c r="P186" s="6"/>
      <c r="Q186" s="6"/>
    </row>
    <row r="187" customFormat="false" ht="24" hidden="false" customHeight="true" outlineLevel="0" collapsed="false">
      <c r="A187" s="35" t="s">
        <v>1005</v>
      </c>
      <c r="B187" s="34"/>
      <c r="C187" s="34"/>
      <c r="D187" s="34"/>
      <c r="E187" s="34"/>
      <c r="F187" s="34"/>
      <c r="G187" s="34"/>
      <c r="H187" s="34"/>
      <c r="I187" s="34"/>
      <c r="J187" s="34"/>
      <c r="K187" s="34"/>
      <c r="L187" s="34"/>
      <c r="M187" s="34"/>
      <c r="N187" s="34"/>
      <c r="O187" s="34"/>
      <c r="P187" s="34"/>
      <c r="Q187" s="34"/>
    </row>
    <row r="188" customFormat="false" ht="193.5" hidden="false" customHeight="true" outlineLevel="0" collapsed="false">
      <c r="A188" s="12" t="s">
        <v>1006</v>
      </c>
      <c r="B188" s="12" t="s">
        <v>1007</v>
      </c>
      <c r="C188" s="13" t="s">
        <v>1008</v>
      </c>
      <c r="D188" s="14" t="s">
        <v>956</v>
      </c>
      <c r="E188" s="15"/>
      <c r="F188" s="15"/>
      <c r="G188" s="15"/>
      <c r="H188" s="15"/>
      <c r="I188" s="15"/>
      <c r="J188" s="15"/>
      <c r="K188" s="15"/>
      <c r="L188" s="15"/>
      <c r="M188" s="16" t="s">
        <v>66</v>
      </c>
      <c r="N188" s="17" t="n">
        <f aca="false">IFERROR(AVERAGE(N189:N192),"")</f>
        <v>0</v>
      </c>
      <c r="O188" s="14"/>
      <c r="P188" s="14" t="s">
        <v>1009</v>
      </c>
      <c r="Q188" s="14" t="s">
        <v>1010</v>
      </c>
    </row>
    <row r="189" customFormat="false" ht="15" hidden="false" customHeight="false" outlineLevel="0" collapsed="false">
      <c r="A189" s="6" t="s">
        <v>1011</v>
      </c>
      <c r="B189" s="18" t="s">
        <v>1007</v>
      </c>
      <c r="C189" s="6" t="s">
        <v>1012</v>
      </c>
      <c r="E189" s="19" t="s">
        <v>1013</v>
      </c>
      <c r="F189" s="20" t="s">
        <v>79</v>
      </c>
      <c r="G189" s="20" t="s">
        <v>74</v>
      </c>
      <c r="H189" s="20" t="s">
        <v>97</v>
      </c>
      <c r="I189" s="22" t="n">
        <v>77</v>
      </c>
      <c r="J189" s="22" t="n">
        <v>77</v>
      </c>
      <c r="K189" s="29" t="n">
        <v>80.85</v>
      </c>
      <c r="L189" s="18" t="s">
        <v>138</v>
      </c>
      <c r="M189" s="27" t="n">
        <v>77</v>
      </c>
      <c r="N189" s="25" t="n">
        <f aca="false">IF(AND(ISNUMBER(J189),ISNUMBER(K189),ISNUMBER(M189),K189&lt;&gt;J189),MAX(0,MIN(1,(M189-J189)/(K189-J189))),"")</f>
        <v>0</v>
      </c>
      <c r="O189" s="26"/>
      <c r="P189" s="6"/>
      <c r="Q189" s="6"/>
    </row>
    <row r="190" customFormat="false" ht="15" hidden="false" customHeight="false" outlineLevel="0" collapsed="false">
      <c r="A190" s="6" t="s">
        <v>1014</v>
      </c>
      <c r="B190" s="18" t="s">
        <v>1007</v>
      </c>
      <c r="C190" s="6" t="s">
        <v>330</v>
      </c>
      <c r="E190" s="19" t="s">
        <v>331</v>
      </c>
      <c r="F190" s="20" t="s">
        <v>79</v>
      </c>
      <c r="G190" s="20" t="s">
        <v>74</v>
      </c>
      <c r="H190" s="20" t="s">
        <v>97</v>
      </c>
      <c r="I190" s="22" t="n">
        <v>70</v>
      </c>
      <c r="J190" s="22" t="n">
        <v>70</v>
      </c>
      <c r="K190" s="28" t="n">
        <v>71</v>
      </c>
      <c r="L190" s="18" t="s">
        <v>119</v>
      </c>
      <c r="M190" s="27" t="n">
        <v>70</v>
      </c>
      <c r="N190" s="25" t="n">
        <f aca="false">IF(AND(ISNUMBER(J190),ISNUMBER(K190),ISNUMBER(M190),K190&lt;&gt;J190),MAX(0,MIN(1,(M190-J190)/(K190-J190))),"")</f>
        <v>0</v>
      </c>
      <c r="O190" s="26"/>
      <c r="P190" s="6"/>
      <c r="Q190" s="6"/>
    </row>
    <row r="191" customFormat="false" ht="15" hidden="false" customHeight="false" outlineLevel="0" collapsed="false">
      <c r="A191" s="6" t="s">
        <v>1015</v>
      </c>
      <c r="B191" s="18" t="s">
        <v>1007</v>
      </c>
      <c r="C191" s="6" t="s">
        <v>1016</v>
      </c>
      <c r="E191" s="19" t="s">
        <v>97</v>
      </c>
      <c r="F191" s="20" t="s">
        <v>93</v>
      </c>
      <c r="G191" s="20" t="s">
        <v>74</v>
      </c>
      <c r="H191" s="20" t="s">
        <v>97</v>
      </c>
      <c r="I191" s="20" t="s">
        <v>97</v>
      </c>
      <c r="J191" s="22" t="n">
        <v>0</v>
      </c>
      <c r="K191" s="29" t="n">
        <v>100</v>
      </c>
      <c r="L191" s="18" t="s">
        <v>98</v>
      </c>
      <c r="M191" s="30"/>
      <c r="N191" s="25" t="str">
        <f aca="false">IF(AND(ISNUMBER(J191),ISNUMBER(K191),ISNUMBER(M191),K191&lt;&gt;J191),MAX(0,MIN(1,(M191-J191)/(K191-J191))),"")</f>
        <v/>
      </c>
      <c r="O191" s="26"/>
      <c r="P191" s="6"/>
      <c r="Q191" s="6"/>
    </row>
    <row r="192" customFormat="false" ht="15" hidden="false" customHeight="false" outlineLevel="0" collapsed="false">
      <c r="A192" s="6" t="s">
        <v>1017</v>
      </c>
      <c r="B192" s="18" t="s">
        <v>1007</v>
      </c>
      <c r="C192" s="6" t="s">
        <v>1018</v>
      </c>
      <c r="E192" s="19" t="s">
        <v>97</v>
      </c>
      <c r="F192" s="20" t="s">
        <v>93</v>
      </c>
      <c r="G192" s="20" t="s">
        <v>74</v>
      </c>
      <c r="H192" s="20" t="s">
        <v>97</v>
      </c>
      <c r="I192" s="20" t="s">
        <v>97</v>
      </c>
      <c r="J192" s="22" t="n">
        <v>0</v>
      </c>
      <c r="K192" s="29" t="n">
        <v>100</v>
      </c>
      <c r="L192" s="18" t="s">
        <v>98</v>
      </c>
      <c r="M192" s="30"/>
      <c r="N192" s="25" t="str">
        <f aca="false">IF(AND(ISNUMBER(J192),ISNUMBER(K192),ISNUMBER(M192),K192&lt;&gt;J192),MAX(0,MIN(1,(M192-J192)/(K192-J192))),"")</f>
        <v/>
      </c>
      <c r="O192" s="26"/>
      <c r="P192" s="6"/>
      <c r="Q192" s="6"/>
    </row>
    <row r="193" customFormat="false" ht="180.75" hidden="false" customHeight="true" outlineLevel="0" collapsed="false">
      <c r="A193" s="12" t="s">
        <v>1019</v>
      </c>
      <c r="B193" s="12" t="s">
        <v>1007</v>
      </c>
      <c r="C193" s="13" t="s">
        <v>1020</v>
      </c>
      <c r="D193" s="14" t="s">
        <v>956</v>
      </c>
      <c r="E193" s="15"/>
      <c r="F193" s="15"/>
      <c r="G193" s="15"/>
      <c r="H193" s="15"/>
      <c r="I193" s="15"/>
      <c r="J193" s="15"/>
      <c r="K193" s="15"/>
      <c r="L193" s="15"/>
      <c r="M193" s="16" t="s">
        <v>66</v>
      </c>
      <c r="N193" s="17" t="n">
        <f aca="false">IFERROR(AVERAGE(N194:N197),"")</f>
        <v>0</v>
      </c>
      <c r="O193" s="14"/>
      <c r="P193" s="14" t="s">
        <v>1021</v>
      </c>
      <c r="Q193" s="14" t="s">
        <v>1022</v>
      </c>
    </row>
    <row r="194" customFormat="false" ht="15" hidden="false" customHeight="false" outlineLevel="0" collapsed="false">
      <c r="A194" s="6" t="s">
        <v>1023</v>
      </c>
      <c r="B194" s="18" t="s">
        <v>1007</v>
      </c>
      <c r="C194" s="6" t="s">
        <v>91</v>
      </c>
      <c r="E194" s="19" t="s">
        <v>92</v>
      </c>
      <c r="F194" s="20" t="s">
        <v>93</v>
      </c>
      <c r="G194" s="20" t="s">
        <v>74</v>
      </c>
      <c r="H194" s="22" t="n">
        <v>10.97</v>
      </c>
      <c r="I194" s="22" t="n">
        <v>14.57</v>
      </c>
      <c r="J194" s="22" t="n">
        <v>14.57</v>
      </c>
      <c r="K194" s="28" t="n">
        <v>15.47</v>
      </c>
      <c r="L194" s="18" t="s">
        <v>94</v>
      </c>
      <c r="M194" s="27" t="n">
        <v>14.57</v>
      </c>
      <c r="N194" s="25" t="n">
        <f aca="false">IF(AND(ISNUMBER(J194),ISNUMBER(K194),ISNUMBER(M194),K194&lt;&gt;J194),MAX(0,MIN(1,(M194-J194)/(K194-J194))),"")</f>
        <v>0</v>
      </c>
      <c r="O194" s="26"/>
      <c r="P194" s="6"/>
      <c r="Q194" s="6"/>
    </row>
    <row r="195" customFormat="false" ht="15" hidden="false" customHeight="false" outlineLevel="0" collapsed="false">
      <c r="A195" s="6" t="s">
        <v>1024</v>
      </c>
      <c r="B195" s="18" t="s">
        <v>1007</v>
      </c>
      <c r="C195" s="6" t="s">
        <v>336</v>
      </c>
      <c r="E195" s="19" t="s">
        <v>337</v>
      </c>
      <c r="F195" s="20" t="s">
        <v>93</v>
      </c>
      <c r="G195" s="20" t="s">
        <v>74</v>
      </c>
      <c r="H195" s="20" t="s">
        <v>97</v>
      </c>
      <c r="I195" s="22" t="n">
        <v>35</v>
      </c>
      <c r="J195" s="22" t="n">
        <v>35</v>
      </c>
      <c r="K195" s="29" t="n">
        <v>36.75</v>
      </c>
      <c r="L195" s="18" t="s">
        <v>138</v>
      </c>
      <c r="M195" s="27" t="n">
        <v>35</v>
      </c>
      <c r="N195" s="25" t="n">
        <f aca="false">IF(AND(ISNUMBER(J195),ISNUMBER(K195),ISNUMBER(M195),K195&lt;&gt;J195),MAX(0,MIN(1,(M195-J195)/(K195-J195))),"")</f>
        <v>0</v>
      </c>
      <c r="O195" s="26"/>
      <c r="P195" s="6"/>
      <c r="Q195" s="6"/>
    </row>
    <row r="196" customFormat="false" ht="15" hidden="false" customHeight="false" outlineLevel="0" collapsed="false">
      <c r="A196" s="6" t="s">
        <v>1025</v>
      </c>
      <c r="B196" s="18" t="s">
        <v>1007</v>
      </c>
      <c r="C196" s="6" t="s">
        <v>1026</v>
      </c>
      <c r="E196" s="19" t="s">
        <v>97</v>
      </c>
      <c r="F196" s="20" t="s">
        <v>79</v>
      </c>
      <c r="G196" s="20" t="s">
        <v>74</v>
      </c>
      <c r="H196" s="20" t="s">
        <v>97</v>
      </c>
      <c r="I196" s="20" t="s">
        <v>97</v>
      </c>
      <c r="J196" s="22" t="n">
        <v>0</v>
      </c>
      <c r="K196" s="29" t="n">
        <v>4</v>
      </c>
      <c r="L196" s="18" t="s">
        <v>98</v>
      </c>
      <c r="M196" s="30"/>
      <c r="N196" s="25" t="str">
        <f aca="false">IF(AND(ISNUMBER(J196),ISNUMBER(K196),ISNUMBER(M196),K196&lt;&gt;J196),MAX(0,MIN(1,(M196-J196)/(K196-J196))),"")</f>
        <v/>
      </c>
      <c r="O196" s="26"/>
      <c r="P196" s="6"/>
      <c r="Q196" s="6"/>
    </row>
    <row r="197" customFormat="false" ht="15" hidden="false" customHeight="false" outlineLevel="0" collapsed="false">
      <c r="A197" s="6" t="s">
        <v>1027</v>
      </c>
      <c r="B197" s="18" t="s">
        <v>1007</v>
      </c>
      <c r="C197" s="6" t="s">
        <v>1028</v>
      </c>
      <c r="E197" s="19" t="s">
        <v>97</v>
      </c>
      <c r="F197" s="20" t="s">
        <v>79</v>
      </c>
      <c r="G197" s="20" t="s">
        <v>74</v>
      </c>
      <c r="H197" s="20" t="s">
        <v>97</v>
      </c>
      <c r="I197" s="20" t="s">
        <v>97</v>
      </c>
      <c r="J197" s="22" t="n">
        <v>0</v>
      </c>
      <c r="K197" s="29" t="n">
        <v>3</v>
      </c>
      <c r="L197" s="18" t="s">
        <v>98</v>
      </c>
      <c r="M197" s="30"/>
      <c r="N197" s="25" t="str">
        <f aca="false">IF(AND(ISNUMBER(J197),ISNUMBER(K197),ISNUMBER(M197),K197&lt;&gt;J197),MAX(0,MIN(1,(M197-J197)/(K197-J197))),"")</f>
        <v/>
      </c>
      <c r="O197" s="26"/>
      <c r="P197" s="6"/>
      <c r="Q197" s="6"/>
    </row>
    <row r="198" customFormat="false" ht="45" hidden="false" customHeight="true" outlineLevel="0" collapsed="false">
      <c r="A198" s="12" t="s">
        <v>1029</v>
      </c>
      <c r="B198" s="12" t="s">
        <v>1007</v>
      </c>
      <c r="C198" s="13" t="s">
        <v>1030</v>
      </c>
      <c r="D198" s="14" t="s">
        <v>956</v>
      </c>
      <c r="E198" s="15"/>
      <c r="F198" s="15"/>
      <c r="G198" s="15"/>
      <c r="H198" s="15"/>
      <c r="I198" s="15"/>
      <c r="J198" s="15"/>
      <c r="K198" s="15"/>
      <c r="L198" s="15"/>
      <c r="M198" s="16" t="s">
        <v>66</v>
      </c>
      <c r="N198" s="17" t="str">
        <f aca="false">IFERROR(AVERAGE(N199:N200),"")</f>
        <v/>
      </c>
      <c r="O198" s="14"/>
      <c r="P198" s="14" t="s">
        <v>1031</v>
      </c>
      <c r="Q198" s="14"/>
    </row>
    <row r="199" customFormat="false" ht="15" hidden="false" customHeight="false" outlineLevel="0" collapsed="false">
      <c r="A199" s="6" t="s">
        <v>1032</v>
      </c>
      <c r="B199" s="18" t="s">
        <v>1007</v>
      </c>
      <c r="C199" s="6" t="s">
        <v>1033</v>
      </c>
      <c r="E199" s="19" t="s">
        <v>97</v>
      </c>
      <c r="F199" s="20" t="s">
        <v>93</v>
      </c>
      <c r="G199" s="20" t="s">
        <v>74</v>
      </c>
      <c r="H199" s="20" t="s">
        <v>97</v>
      </c>
      <c r="I199" s="20" t="s">
        <v>97</v>
      </c>
      <c r="J199" s="22" t="n">
        <v>0</v>
      </c>
      <c r="K199" s="29" t="n">
        <v>90</v>
      </c>
      <c r="L199" s="18" t="s">
        <v>98</v>
      </c>
      <c r="M199" s="30"/>
      <c r="N199" s="25" t="str">
        <f aca="false">IF(AND(ISNUMBER(J199),ISNUMBER(K199),ISNUMBER(M199),K199&lt;&gt;J199),MAX(0,MIN(1,(M199-J199)/(K199-J199))),"")</f>
        <v/>
      </c>
      <c r="O199" s="26"/>
      <c r="P199" s="6"/>
      <c r="Q199" s="6"/>
    </row>
    <row r="200" customFormat="false" ht="15" hidden="false" customHeight="false" outlineLevel="0" collapsed="false">
      <c r="A200" s="6" t="s">
        <v>1034</v>
      </c>
      <c r="B200" s="18" t="s">
        <v>1007</v>
      </c>
      <c r="C200" s="6" t="s">
        <v>1035</v>
      </c>
      <c r="E200" s="19" t="s">
        <v>97</v>
      </c>
      <c r="F200" s="20" t="s">
        <v>79</v>
      </c>
      <c r="G200" s="20" t="s">
        <v>74</v>
      </c>
      <c r="H200" s="20" t="s">
        <v>97</v>
      </c>
      <c r="I200" s="20" t="s">
        <v>97</v>
      </c>
      <c r="J200" s="22" t="n">
        <v>0</v>
      </c>
      <c r="K200" s="29" t="n">
        <v>10</v>
      </c>
      <c r="L200" s="18" t="s">
        <v>98</v>
      </c>
      <c r="M200" s="30"/>
      <c r="N200" s="25" t="str">
        <f aca="false">IF(AND(ISNUMBER(J200),ISNUMBER(K200),ISNUMBER(M200),K200&lt;&gt;J200),MAX(0,MIN(1,(M200-J200)/(K200-J200))),"")</f>
        <v/>
      </c>
      <c r="O200" s="26"/>
      <c r="P200" s="6"/>
      <c r="Q200" s="6"/>
    </row>
    <row r="201" customFormat="false" ht="24" hidden="false" customHeight="true" outlineLevel="0" collapsed="false">
      <c r="A201" s="35" t="s">
        <v>1036</v>
      </c>
      <c r="B201" s="34"/>
      <c r="C201" s="34"/>
      <c r="D201" s="34"/>
      <c r="E201" s="34"/>
      <c r="F201" s="34"/>
      <c r="G201" s="34"/>
      <c r="H201" s="34"/>
      <c r="I201" s="34"/>
      <c r="J201" s="34"/>
      <c r="K201" s="34"/>
      <c r="L201" s="34"/>
      <c r="M201" s="34"/>
      <c r="N201" s="34"/>
      <c r="O201" s="34"/>
      <c r="P201" s="34"/>
      <c r="Q201" s="34"/>
    </row>
    <row r="202" customFormat="false" ht="93" hidden="false" customHeight="true" outlineLevel="0" collapsed="false">
      <c r="A202" s="12" t="s">
        <v>1037</v>
      </c>
      <c r="B202" s="12" t="s">
        <v>1038</v>
      </c>
      <c r="C202" s="13" t="s">
        <v>1039</v>
      </c>
      <c r="D202" s="14" t="s">
        <v>956</v>
      </c>
      <c r="E202" s="15"/>
      <c r="F202" s="15"/>
      <c r="G202" s="15"/>
      <c r="H202" s="15"/>
      <c r="I202" s="15"/>
      <c r="J202" s="15"/>
      <c r="K202" s="15"/>
      <c r="L202" s="15"/>
      <c r="M202" s="16" t="s">
        <v>66</v>
      </c>
      <c r="N202" s="17" t="n">
        <f aca="false">IFERROR(AVERAGE(N203:N205),"")</f>
        <v>0</v>
      </c>
      <c r="O202" s="14"/>
      <c r="P202" s="14" t="s">
        <v>1040</v>
      </c>
      <c r="Q202" s="14" t="s">
        <v>1041</v>
      </c>
    </row>
    <row r="203" customFormat="false" ht="15" hidden="false" customHeight="false" outlineLevel="0" collapsed="false">
      <c r="A203" s="6" t="s">
        <v>1042</v>
      </c>
      <c r="B203" s="18" t="s">
        <v>1038</v>
      </c>
      <c r="C203" s="6" t="s">
        <v>1043</v>
      </c>
      <c r="E203" s="19" t="s">
        <v>1044</v>
      </c>
      <c r="F203" s="20" t="s">
        <v>93</v>
      </c>
      <c r="G203" s="20" t="s">
        <v>74</v>
      </c>
      <c r="H203" s="20" t="s">
        <v>97</v>
      </c>
      <c r="I203" s="22" t="n">
        <v>77.9</v>
      </c>
      <c r="J203" s="22" t="n">
        <v>77.9</v>
      </c>
      <c r="K203" s="28" t="n">
        <v>83</v>
      </c>
      <c r="L203" s="18" t="s">
        <v>94</v>
      </c>
      <c r="M203" s="27" t="n">
        <v>77.9</v>
      </c>
      <c r="N203" s="25" t="n">
        <f aca="false">IF(AND(ISNUMBER(J203),ISNUMBER(K203),ISNUMBER(M203),K203&lt;&gt;J203),MAX(0,MIN(1,(M203-J203)/(K203-J203))),"")</f>
        <v>0</v>
      </c>
      <c r="O203" s="26"/>
      <c r="P203" s="6"/>
      <c r="Q203" s="6"/>
    </row>
    <row r="204" customFormat="false" ht="15" hidden="false" customHeight="false" outlineLevel="0" collapsed="false">
      <c r="A204" s="6" t="s">
        <v>1045</v>
      </c>
      <c r="B204" s="18" t="s">
        <v>1038</v>
      </c>
      <c r="C204" s="6" t="s">
        <v>1046</v>
      </c>
      <c r="E204" s="19" t="s">
        <v>97</v>
      </c>
      <c r="F204" s="20" t="s">
        <v>79</v>
      </c>
      <c r="G204" s="20" t="s">
        <v>74</v>
      </c>
      <c r="H204" s="20" t="s">
        <v>97</v>
      </c>
      <c r="I204" s="20" t="s">
        <v>97</v>
      </c>
      <c r="J204" s="22" t="n">
        <v>0</v>
      </c>
      <c r="K204" s="29" t="n">
        <v>4</v>
      </c>
      <c r="L204" s="18" t="s">
        <v>98</v>
      </c>
      <c r="M204" s="30"/>
      <c r="N204" s="25" t="str">
        <f aca="false">IF(AND(ISNUMBER(J204),ISNUMBER(K204),ISNUMBER(M204),K204&lt;&gt;J204),MAX(0,MIN(1,(M204-J204)/(K204-J204))),"")</f>
        <v/>
      </c>
      <c r="O204" s="26"/>
      <c r="P204" s="6"/>
      <c r="Q204" s="6"/>
    </row>
    <row r="205" customFormat="false" ht="15" hidden="false" customHeight="false" outlineLevel="0" collapsed="false">
      <c r="A205" s="6" t="s">
        <v>1047</v>
      </c>
      <c r="B205" s="18" t="s">
        <v>1038</v>
      </c>
      <c r="C205" s="6" t="s">
        <v>1048</v>
      </c>
      <c r="E205" s="19" t="s">
        <v>97</v>
      </c>
      <c r="F205" s="20" t="s">
        <v>79</v>
      </c>
      <c r="G205" s="20" t="s">
        <v>74</v>
      </c>
      <c r="H205" s="20" t="s">
        <v>97</v>
      </c>
      <c r="I205" s="20" t="s">
        <v>97</v>
      </c>
      <c r="J205" s="22" t="n">
        <v>0</v>
      </c>
      <c r="K205" s="29" t="n">
        <v>12</v>
      </c>
      <c r="L205" s="18" t="s">
        <v>98</v>
      </c>
      <c r="M205" s="30"/>
      <c r="N205" s="25" t="str">
        <f aca="false">IF(AND(ISNUMBER(J205),ISNUMBER(K205),ISNUMBER(M205),K205&lt;&gt;J205),MAX(0,MIN(1,(M205-J205)/(K205-J205))),"")</f>
        <v/>
      </c>
      <c r="O205" s="26"/>
      <c r="P205" s="6"/>
      <c r="Q205" s="6"/>
    </row>
    <row r="206" customFormat="false" ht="255.75" hidden="false" customHeight="true" outlineLevel="0" collapsed="false">
      <c r="A206" s="12" t="s">
        <v>1049</v>
      </c>
      <c r="B206" s="12" t="s">
        <v>1038</v>
      </c>
      <c r="C206" s="13" t="s">
        <v>1050</v>
      </c>
      <c r="D206" s="14" t="s">
        <v>956</v>
      </c>
      <c r="E206" s="15"/>
      <c r="F206" s="15"/>
      <c r="G206" s="15"/>
      <c r="H206" s="15"/>
      <c r="I206" s="15"/>
      <c r="J206" s="15"/>
      <c r="K206" s="15"/>
      <c r="L206" s="15"/>
      <c r="M206" s="16" t="s">
        <v>66</v>
      </c>
      <c r="N206" s="17" t="n">
        <f aca="false">IFERROR(AVERAGE(N207:N210),"")</f>
        <v>0.137961940598703</v>
      </c>
      <c r="O206" s="14"/>
      <c r="P206" s="14" t="s">
        <v>1051</v>
      </c>
      <c r="Q206" s="14" t="s">
        <v>1052</v>
      </c>
    </row>
    <row r="207" customFormat="false" ht="32.8" hidden="false" customHeight="false" outlineLevel="0" collapsed="false">
      <c r="A207" s="6" t="s">
        <v>1053</v>
      </c>
      <c r="B207" s="18" t="s">
        <v>1038</v>
      </c>
      <c r="C207" s="6" t="s">
        <v>85</v>
      </c>
      <c r="E207" s="19" t="s">
        <v>325</v>
      </c>
      <c r="F207" s="20" t="s">
        <v>73</v>
      </c>
      <c r="G207" s="20" t="s">
        <v>74</v>
      </c>
      <c r="H207" s="21" t="n">
        <v>6301.95</v>
      </c>
      <c r="I207" s="21" t="n">
        <v>2981.92</v>
      </c>
      <c r="J207" s="22" t="n">
        <v>0</v>
      </c>
      <c r="K207" s="23" t="n">
        <v>9813.72</v>
      </c>
      <c r="L207" s="18" t="s">
        <v>75</v>
      </c>
      <c r="M207" s="24" t="n">
        <v>2981.92</v>
      </c>
      <c r="N207" s="25" t="n">
        <f aca="false">IF(AND(ISNUMBER(J207),ISNUMBER(K207),ISNUMBER(M207),K207&lt;&gt;J207),MAX(0,MIN(1,(M207-J207)/(K207-J207))),"")</f>
        <v>0.303852157999209</v>
      </c>
      <c r="O207" s="26"/>
      <c r="P207" s="6"/>
      <c r="Q207" s="6"/>
    </row>
    <row r="208" customFormat="false" ht="32.8" hidden="false" customHeight="false" outlineLevel="0" collapsed="false">
      <c r="A208" s="6" t="s">
        <v>1054</v>
      </c>
      <c r="B208" s="18" t="s">
        <v>1038</v>
      </c>
      <c r="C208" s="6" t="s">
        <v>1055</v>
      </c>
      <c r="E208" s="19" t="s">
        <v>1056</v>
      </c>
      <c r="F208" s="20" t="s">
        <v>79</v>
      </c>
      <c r="G208" s="20" t="s">
        <v>74</v>
      </c>
      <c r="H208" s="21" t="n">
        <v>178382</v>
      </c>
      <c r="I208" s="21" t="n">
        <v>56419</v>
      </c>
      <c r="J208" s="22" t="n">
        <v>0</v>
      </c>
      <c r="K208" s="23" t="n">
        <v>227500</v>
      </c>
      <c r="L208" s="18" t="s">
        <v>75</v>
      </c>
      <c r="M208" s="24" t="n">
        <v>56419</v>
      </c>
      <c r="N208" s="25" t="n">
        <f aca="false">IF(AND(ISNUMBER(J208),ISNUMBER(K208),ISNUMBER(M208),K208&lt;&gt;J208),MAX(0,MIN(1,(M208-J208)/(K208-J208))),"")</f>
        <v>0.247995604395604</v>
      </c>
      <c r="O208" s="26"/>
      <c r="P208" s="6"/>
      <c r="Q208" s="6"/>
    </row>
    <row r="209" customFormat="false" ht="15" hidden="false" customHeight="false" outlineLevel="0" collapsed="false">
      <c r="A209" s="6" t="s">
        <v>1057</v>
      </c>
      <c r="B209" s="18" t="s">
        <v>1038</v>
      </c>
      <c r="C209" s="6" t="s">
        <v>345</v>
      </c>
      <c r="E209" s="19" t="s">
        <v>346</v>
      </c>
      <c r="F209" s="20" t="s">
        <v>93</v>
      </c>
      <c r="G209" s="20" t="s">
        <v>74</v>
      </c>
      <c r="H209" s="22" t="n">
        <v>50.21</v>
      </c>
      <c r="I209" s="22" t="n">
        <v>50.27</v>
      </c>
      <c r="J209" s="22" t="n">
        <v>50.27</v>
      </c>
      <c r="K209" s="28" t="n">
        <v>52</v>
      </c>
      <c r="L209" s="18" t="s">
        <v>119</v>
      </c>
      <c r="M209" s="27" t="n">
        <v>50.27</v>
      </c>
      <c r="N209" s="25" t="n">
        <f aca="false">IF(AND(ISNUMBER(J209),ISNUMBER(K209),ISNUMBER(M209),K209&lt;&gt;J209),MAX(0,MIN(1,(M209-J209)/(K209-J209))),"")</f>
        <v>0</v>
      </c>
      <c r="O209" s="26"/>
      <c r="P209" s="6"/>
      <c r="Q209" s="6"/>
    </row>
    <row r="210" customFormat="false" ht="15" hidden="false" customHeight="false" outlineLevel="0" collapsed="false">
      <c r="A210" s="6" t="s">
        <v>1058</v>
      </c>
      <c r="B210" s="18" t="s">
        <v>1038</v>
      </c>
      <c r="C210" s="6" t="s">
        <v>1059</v>
      </c>
      <c r="E210" s="19" t="s">
        <v>1060</v>
      </c>
      <c r="F210" s="20" t="s">
        <v>93</v>
      </c>
      <c r="G210" s="20" t="s">
        <v>74</v>
      </c>
      <c r="H210" s="22" t="n">
        <v>23.09</v>
      </c>
      <c r="I210" s="22" t="n">
        <v>25.7</v>
      </c>
      <c r="J210" s="22" t="n">
        <v>25.7</v>
      </c>
      <c r="K210" s="28" t="n">
        <v>26</v>
      </c>
      <c r="L210" s="18" t="s">
        <v>119</v>
      </c>
      <c r="M210" s="27" t="n">
        <v>25.7</v>
      </c>
      <c r="N210" s="25" t="n">
        <f aca="false">IF(AND(ISNUMBER(J210),ISNUMBER(K210),ISNUMBER(M210),K210&lt;&gt;J210),MAX(0,MIN(1,(M210-J210)/(K210-J210))),"")</f>
        <v>0</v>
      </c>
      <c r="O210" s="26"/>
      <c r="P210" s="6"/>
      <c r="Q210" s="6"/>
    </row>
    <row r="211" customFormat="false" ht="193.5" hidden="false" customHeight="true" outlineLevel="0" collapsed="false">
      <c r="A211" s="12" t="s">
        <v>1061</v>
      </c>
      <c r="B211" s="12" t="s">
        <v>1038</v>
      </c>
      <c r="C211" s="13" t="s">
        <v>1062</v>
      </c>
      <c r="D211" s="14" t="s">
        <v>971</v>
      </c>
      <c r="E211" s="15"/>
      <c r="F211" s="15"/>
      <c r="G211" s="15"/>
      <c r="H211" s="15"/>
      <c r="I211" s="15"/>
      <c r="J211" s="15"/>
      <c r="K211" s="15"/>
      <c r="L211" s="15"/>
      <c r="M211" s="16" t="s">
        <v>66</v>
      </c>
      <c r="N211" s="17" t="n">
        <f aca="false">IFERROR(AVERAGE(N212:N214),"")</f>
        <v>0.0782932110559164</v>
      </c>
      <c r="O211" s="14"/>
      <c r="P211" s="14" t="s">
        <v>1063</v>
      </c>
      <c r="Q211" s="14" t="s">
        <v>1064</v>
      </c>
    </row>
    <row r="212" customFormat="false" ht="15" hidden="false" customHeight="false" outlineLevel="0" collapsed="false">
      <c r="A212" s="6" t="s">
        <v>1065</v>
      </c>
      <c r="B212" s="18" t="s">
        <v>1038</v>
      </c>
      <c r="C212" s="6" t="s">
        <v>339</v>
      </c>
      <c r="E212" s="19" t="s">
        <v>340</v>
      </c>
      <c r="F212" s="20" t="s">
        <v>93</v>
      </c>
      <c r="G212" s="20" t="s">
        <v>74</v>
      </c>
      <c r="H212" s="20" t="s">
        <v>97</v>
      </c>
      <c r="I212" s="22" t="n">
        <v>10.5</v>
      </c>
      <c r="J212" s="22" t="n">
        <v>10.5</v>
      </c>
      <c r="K212" s="28" t="n">
        <v>13</v>
      </c>
      <c r="L212" s="18" t="s">
        <v>119</v>
      </c>
      <c r="M212" s="27" t="n">
        <v>10.5</v>
      </c>
      <c r="N212" s="25" t="n">
        <f aca="false">IF(AND(ISNUMBER(J212),ISNUMBER(K212),ISNUMBER(M212),K212&lt;&gt;J212),MAX(0,MIN(1,(M212-J212)/(K212-J212))),"")</f>
        <v>0</v>
      </c>
      <c r="O212" s="26"/>
      <c r="P212" s="6"/>
      <c r="Q212" s="6"/>
    </row>
    <row r="213" customFormat="false" ht="15" hidden="false" customHeight="false" outlineLevel="0" collapsed="false">
      <c r="A213" s="6" t="s">
        <v>1066</v>
      </c>
      <c r="B213" s="18" t="s">
        <v>1038</v>
      </c>
      <c r="C213" s="6" t="s">
        <v>1067</v>
      </c>
      <c r="E213" s="19" t="s">
        <v>1068</v>
      </c>
      <c r="F213" s="20" t="s">
        <v>93</v>
      </c>
      <c r="G213" s="20" t="s">
        <v>74</v>
      </c>
      <c r="H213" s="20" t="s">
        <v>97</v>
      </c>
      <c r="I213" s="20" t="s">
        <v>97</v>
      </c>
      <c r="J213" s="20" t="s">
        <v>97</v>
      </c>
      <c r="K213" s="28" t="n">
        <v>60</v>
      </c>
      <c r="L213" s="18" t="s">
        <v>250</v>
      </c>
      <c r="M213" s="30"/>
      <c r="N213" s="25" t="str">
        <f aca="false">IF(AND(ISNUMBER(J213),ISNUMBER(K213),ISNUMBER(M213),K213&lt;&gt;J213),MAX(0,MIN(1,(M213-J213)/(K213-J213))),"")</f>
        <v/>
      </c>
      <c r="O213" s="26"/>
      <c r="P213" s="6"/>
      <c r="Q213" s="6"/>
    </row>
    <row r="214" customFormat="false" ht="32.8" hidden="false" customHeight="false" outlineLevel="0" collapsed="false">
      <c r="A214" s="6" t="s">
        <v>1069</v>
      </c>
      <c r="B214" s="18" t="s">
        <v>1038</v>
      </c>
      <c r="C214" s="6" t="s">
        <v>1070</v>
      </c>
      <c r="E214" s="19" t="s">
        <v>1071</v>
      </c>
      <c r="F214" s="20" t="s">
        <v>73</v>
      </c>
      <c r="G214" s="20" t="s">
        <v>74</v>
      </c>
      <c r="H214" s="21" t="n">
        <v>2184</v>
      </c>
      <c r="I214" s="22" t="n">
        <v>614.68</v>
      </c>
      <c r="J214" s="22" t="n">
        <v>0</v>
      </c>
      <c r="K214" s="23" t="n">
        <v>3925.5</v>
      </c>
      <c r="L214" s="18" t="s">
        <v>75</v>
      </c>
      <c r="M214" s="27" t="n">
        <v>614.68</v>
      </c>
      <c r="N214" s="25" t="n">
        <f aca="false">IF(AND(ISNUMBER(J214),ISNUMBER(K214),ISNUMBER(M214),K214&lt;&gt;J214),MAX(0,MIN(1,(M214-J214)/(K214-J214))),"")</f>
        <v>0.156586422111833</v>
      </c>
      <c r="O214" s="26"/>
      <c r="P214" s="6"/>
      <c r="Q214" s="6"/>
    </row>
    <row r="215" customFormat="false" ht="24" hidden="false" customHeight="true" outlineLevel="0" collapsed="false">
      <c r="A215" s="35" t="s">
        <v>1072</v>
      </c>
      <c r="B215" s="34"/>
      <c r="C215" s="34"/>
      <c r="D215" s="34"/>
      <c r="E215" s="34"/>
      <c r="F215" s="34"/>
      <c r="G215" s="34"/>
      <c r="H215" s="34"/>
      <c r="I215" s="34"/>
      <c r="J215" s="34"/>
      <c r="K215" s="34"/>
      <c r="L215" s="34"/>
      <c r="M215" s="34"/>
      <c r="N215" s="34"/>
      <c r="O215" s="34"/>
      <c r="P215" s="34"/>
      <c r="Q215" s="34"/>
    </row>
    <row r="216" customFormat="false" ht="118.5" hidden="false" customHeight="true" outlineLevel="0" collapsed="false">
      <c r="A216" s="12" t="s">
        <v>1073</v>
      </c>
      <c r="B216" s="12" t="s">
        <v>1074</v>
      </c>
      <c r="C216" s="13" t="s">
        <v>1075</v>
      </c>
      <c r="D216" s="14" t="s">
        <v>1076</v>
      </c>
      <c r="E216" s="15"/>
      <c r="F216" s="15"/>
      <c r="G216" s="15"/>
      <c r="H216" s="15"/>
      <c r="I216" s="15"/>
      <c r="J216" s="15"/>
      <c r="K216" s="15"/>
      <c r="L216" s="15"/>
      <c r="M216" s="16" t="s">
        <v>66</v>
      </c>
      <c r="N216" s="17" t="str">
        <f aca="false">IFERROR(AVERAGE(N217:N218),"")</f>
        <v/>
      </c>
      <c r="O216" s="14"/>
      <c r="P216" s="14" t="s">
        <v>1077</v>
      </c>
      <c r="Q216" s="14" t="s">
        <v>1078</v>
      </c>
    </row>
    <row r="217" customFormat="false" ht="22.35" hidden="false" customHeight="false" outlineLevel="0" collapsed="false">
      <c r="A217" s="6" t="s">
        <v>1079</v>
      </c>
      <c r="B217" s="18" t="s">
        <v>1074</v>
      </c>
      <c r="C217" s="6" t="s">
        <v>1080</v>
      </c>
      <c r="E217" s="19" t="s">
        <v>97</v>
      </c>
      <c r="F217" s="20" t="s">
        <v>79</v>
      </c>
      <c r="G217" s="20" t="s">
        <v>74</v>
      </c>
      <c r="H217" s="20" t="s">
        <v>97</v>
      </c>
      <c r="I217" s="20" t="s">
        <v>97</v>
      </c>
      <c r="J217" s="22" t="n">
        <v>0</v>
      </c>
      <c r="K217" s="29" t="n">
        <v>1</v>
      </c>
      <c r="L217" s="18" t="s">
        <v>98</v>
      </c>
      <c r="M217" s="30"/>
      <c r="N217" s="25" t="str">
        <f aca="false">IF(AND(ISNUMBER(J217),ISNUMBER(K217),ISNUMBER(M217),K217&lt;&gt;J217),MAX(0,MIN(1,(M217-J217)/(K217-J217))),"")</f>
        <v/>
      </c>
      <c r="O217" s="26"/>
      <c r="P217" s="6"/>
      <c r="Q217" s="6"/>
    </row>
    <row r="218" customFormat="false" ht="22.35" hidden="false" customHeight="false" outlineLevel="0" collapsed="false">
      <c r="A218" s="6" t="s">
        <v>1081</v>
      </c>
      <c r="B218" s="18" t="s">
        <v>1074</v>
      </c>
      <c r="C218" s="6" t="s">
        <v>1082</v>
      </c>
      <c r="E218" s="19" t="s">
        <v>97</v>
      </c>
      <c r="F218" s="20" t="s">
        <v>93</v>
      </c>
      <c r="G218" s="20" t="s">
        <v>74</v>
      </c>
      <c r="H218" s="20" t="s">
        <v>97</v>
      </c>
      <c r="I218" s="20" t="s">
        <v>97</v>
      </c>
      <c r="J218" s="22" t="n">
        <v>0</v>
      </c>
      <c r="K218" s="29" t="n">
        <v>100</v>
      </c>
      <c r="L218" s="18" t="s">
        <v>98</v>
      </c>
      <c r="M218" s="30"/>
      <c r="N218" s="25" t="str">
        <f aca="false">IF(AND(ISNUMBER(J218),ISNUMBER(K218),ISNUMBER(M218),K218&lt;&gt;J218),MAX(0,MIN(1,(M218-J218)/(K218-J218))),"")</f>
        <v/>
      </c>
      <c r="O218" s="26"/>
      <c r="P218" s="6"/>
      <c r="Q218" s="6"/>
    </row>
    <row r="219" customFormat="false" ht="45" hidden="false" customHeight="true" outlineLevel="0" collapsed="false">
      <c r="A219" s="12" t="s">
        <v>1083</v>
      </c>
      <c r="B219" s="12" t="s">
        <v>1074</v>
      </c>
      <c r="C219" s="13" t="s">
        <v>1084</v>
      </c>
      <c r="D219" s="14" t="s">
        <v>1076</v>
      </c>
      <c r="E219" s="15"/>
      <c r="F219" s="15"/>
      <c r="G219" s="15"/>
      <c r="H219" s="15"/>
      <c r="I219" s="15"/>
      <c r="J219" s="15"/>
      <c r="K219" s="15"/>
      <c r="L219" s="15"/>
      <c r="M219" s="16" t="s">
        <v>66</v>
      </c>
      <c r="N219" s="17" t="str">
        <f aca="false">IFERROR(AVERAGE(N220:N221),"")</f>
        <v/>
      </c>
      <c r="O219" s="14"/>
      <c r="P219" s="14" t="s">
        <v>1085</v>
      </c>
      <c r="Q219" s="14"/>
    </row>
    <row r="220" customFormat="false" ht="22.35" hidden="false" customHeight="false" outlineLevel="0" collapsed="false">
      <c r="A220" s="6" t="s">
        <v>1086</v>
      </c>
      <c r="B220" s="18" t="s">
        <v>1074</v>
      </c>
      <c r="C220" s="6" t="s">
        <v>1087</v>
      </c>
      <c r="E220" s="19" t="s">
        <v>97</v>
      </c>
      <c r="F220" s="20" t="s">
        <v>93</v>
      </c>
      <c r="G220" s="20" t="s">
        <v>74</v>
      </c>
      <c r="H220" s="20" t="s">
        <v>97</v>
      </c>
      <c r="I220" s="20" t="s">
        <v>97</v>
      </c>
      <c r="J220" s="22" t="n">
        <v>0</v>
      </c>
      <c r="K220" s="29" t="n">
        <v>80</v>
      </c>
      <c r="L220" s="18" t="s">
        <v>98</v>
      </c>
      <c r="M220" s="30"/>
      <c r="N220" s="25" t="str">
        <f aca="false">IF(AND(ISNUMBER(J220),ISNUMBER(K220),ISNUMBER(M220),K220&lt;&gt;J220),MAX(0,MIN(1,(M220-J220)/(K220-J220))),"")</f>
        <v/>
      </c>
      <c r="O220" s="26"/>
      <c r="P220" s="6"/>
      <c r="Q220" s="6"/>
    </row>
    <row r="221" customFormat="false" ht="22.35" hidden="false" customHeight="false" outlineLevel="0" collapsed="false">
      <c r="A221" s="6" t="s">
        <v>1088</v>
      </c>
      <c r="B221" s="18" t="s">
        <v>1074</v>
      </c>
      <c r="C221" s="6" t="s">
        <v>1089</v>
      </c>
      <c r="E221" s="19" t="s">
        <v>97</v>
      </c>
      <c r="F221" s="20" t="s">
        <v>93</v>
      </c>
      <c r="G221" s="20" t="s">
        <v>74</v>
      </c>
      <c r="H221" s="20" t="s">
        <v>97</v>
      </c>
      <c r="I221" s="20" t="s">
        <v>97</v>
      </c>
      <c r="J221" s="22" t="n">
        <v>0</v>
      </c>
      <c r="K221" s="29" t="n">
        <v>100</v>
      </c>
      <c r="L221" s="18" t="s">
        <v>98</v>
      </c>
      <c r="M221" s="30"/>
      <c r="N221" s="25" t="str">
        <f aca="false">IF(AND(ISNUMBER(J221),ISNUMBER(K221),ISNUMBER(M221),K221&lt;&gt;J221),MAX(0,MIN(1,(M221-J221)/(K221-J221))),"")</f>
        <v/>
      </c>
      <c r="O221" s="26"/>
      <c r="P221" s="6"/>
      <c r="Q221" s="6"/>
    </row>
    <row r="222" customFormat="false" ht="368.25" hidden="false" customHeight="true" outlineLevel="0" collapsed="false">
      <c r="A222" s="12" t="s">
        <v>1090</v>
      </c>
      <c r="B222" s="12" t="s">
        <v>1074</v>
      </c>
      <c r="C222" s="13" t="s">
        <v>1091</v>
      </c>
      <c r="D222" s="14" t="s">
        <v>1076</v>
      </c>
      <c r="E222" s="15"/>
      <c r="F222" s="15"/>
      <c r="G222" s="15"/>
      <c r="H222" s="15"/>
      <c r="I222" s="15"/>
      <c r="J222" s="15"/>
      <c r="K222" s="15"/>
      <c r="L222" s="15"/>
      <c r="M222" s="16" t="s">
        <v>66</v>
      </c>
      <c r="N222" s="17" t="str">
        <f aca="false">IFERROR(AVERAGE(N223:N226),"")</f>
        <v/>
      </c>
      <c r="O222" s="14"/>
      <c r="P222" s="14" t="s">
        <v>1092</v>
      </c>
      <c r="Q222" s="14" t="s">
        <v>1093</v>
      </c>
    </row>
    <row r="223" customFormat="false" ht="22.35" hidden="false" customHeight="false" outlineLevel="0" collapsed="false">
      <c r="A223" s="6" t="s">
        <v>1094</v>
      </c>
      <c r="B223" s="18" t="s">
        <v>1074</v>
      </c>
      <c r="C223" s="6" t="s">
        <v>1095</v>
      </c>
      <c r="E223" s="19" t="s">
        <v>1096</v>
      </c>
      <c r="F223" s="20" t="s">
        <v>73</v>
      </c>
      <c r="G223" s="20" t="s">
        <v>74</v>
      </c>
      <c r="H223" s="20" t="s">
        <v>97</v>
      </c>
      <c r="I223" s="22" t="n">
        <v>0</v>
      </c>
      <c r="J223" s="22" t="n">
        <v>0</v>
      </c>
      <c r="K223" s="36" t="s">
        <v>1097</v>
      </c>
      <c r="L223" s="18" t="s">
        <v>1098</v>
      </c>
      <c r="M223" s="27" t="n">
        <v>0</v>
      </c>
      <c r="N223" s="25" t="str">
        <f aca="false">IF(AND(ISNUMBER(J223),ISNUMBER(K223),ISNUMBER(M223),K223&lt;&gt;J223),MAX(0,MIN(1,(M223-J223)/(K223-J223))),"")</f>
        <v/>
      </c>
      <c r="O223" s="31" t="s">
        <v>1099</v>
      </c>
      <c r="P223" s="6"/>
      <c r="Q223" s="6"/>
    </row>
    <row r="224" customFormat="false" ht="23.85" hidden="false" customHeight="false" outlineLevel="0" collapsed="false">
      <c r="A224" s="6" t="s">
        <v>1100</v>
      </c>
      <c r="B224" s="18" t="s">
        <v>1074</v>
      </c>
      <c r="C224" s="6" t="s">
        <v>351</v>
      </c>
      <c r="E224" s="19" t="s">
        <v>352</v>
      </c>
      <c r="F224" s="20" t="s">
        <v>79</v>
      </c>
      <c r="G224" s="20" t="s">
        <v>74</v>
      </c>
      <c r="H224" s="20" t="s">
        <v>97</v>
      </c>
      <c r="I224" s="20" t="s">
        <v>97</v>
      </c>
      <c r="J224" s="20" t="s">
        <v>97</v>
      </c>
      <c r="K224" s="28" t="n">
        <v>2</v>
      </c>
      <c r="L224" s="18" t="s">
        <v>250</v>
      </c>
      <c r="M224" s="30"/>
      <c r="N224" s="25" t="str">
        <f aca="false">IF(AND(ISNUMBER(J224),ISNUMBER(K224),ISNUMBER(M224),K224&lt;&gt;J224),MAX(0,MIN(1,(M224-J224)/(K224-J224))),"")</f>
        <v/>
      </c>
      <c r="O224" s="26"/>
      <c r="P224" s="6"/>
      <c r="Q224" s="6"/>
    </row>
    <row r="225" customFormat="false" ht="22.35" hidden="false" customHeight="false" outlineLevel="0" collapsed="false">
      <c r="A225" s="6" t="s">
        <v>1101</v>
      </c>
      <c r="B225" s="18" t="s">
        <v>1074</v>
      </c>
      <c r="C225" s="6" t="s">
        <v>354</v>
      </c>
      <c r="E225" s="19" t="s">
        <v>355</v>
      </c>
      <c r="F225" s="20" t="s">
        <v>79</v>
      </c>
      <c r="G225" s="20" t="s">
        <v>74</v>
      </c>
      <c r="H225" s="20" t="s">
        <v>97</v>
      </c>
      <c r="I225" s="20" t="s">
        <v>97</v>
      </c>
      <c r="J225" s="20" t="s">
        <v>97</v>
      </c>
      <c r="K225" s="28" t="n">
        <v>5</v>
      </c>
      <c r="L225" s="18" t="s">
        <v>250</v>
      </c>
      <c r="M225" s="30"/>
      <c r="N225" s="25" t="str">
        <f aca="false">IF(AND(ISNUMBER(J225),ISNUMBER(K225),ISNUMBER(M225),K225&lt;&gt;J225),MAX(0,MIN(1,(M225-J225)/(K225-J225))),"")</f>
        <v/>
      </c>
      <c r="O225" s="26"/>
      <c r="P225" s="6"/>
      <c r="Q225" s="6"/>
    </row>
    <row r="226" customFormat="false" ht="22.35" hidden="false" customHeight="false" outlineLevel="0" collapsed="false">
      <c r="A226" s="6" t="s">
        <v>1102</v>
      </c>
      <c r="B226" s="18" t="s">
        <v>1074</v>
      </c>
      <c r="C226" s="6" t="s">
        <v>357</v>
      </c>
      <c r="E226" s="19" t="s">
        <v>358</v>
      </c>
      <c r="F226" s="20" t="s">
        <v>79</v>
      </c>
      <c r="G226" s="20" t="s">
        <v>74</v>
      </c>
      <c r="H226" s="20" t="s">
        <v>97</v>
      </c>
      <c r="I226" s="20" t="s">
        <v>97</v>
      </c>
      <c r="J226" s="20" t="s">
        <v>97</v>
      </c>
      <c r="K226" s="28" t="n">
        <v>5</v>
      </c>
      <c r="L226" s="18" t="s">
        <v>250</v>
      </c>
      <c r="M226" s="30"/>
      <c r="N226" s="25" t="str">
        <f aca="false">IF(AND(ISNUMBER(J226),ISNUMBER(K226),ISNUMBER(M226),K226&lt;&gt;J226),MAX(0,MIN(1,(M226-J226)/(K226-J226))),"")</f>
        <v/>
      </c>
      <c r="O226" s="26"/>
      <c r="P226" s="6"/>
      <c r="Q226" s="6"/>
    </row>
    <row r="227" customFormat="false" ht="68.25" hidden="false" customHeight="true" outlineLevel="0" collapsed="false">
      <c r="A227" s="12" t="s">
        <v>1103</v>
      </c>
      <c r="B227" s="12" t="s">
        <v>1074</v>
      </c>
      <c r="C227" s="13" t="s">
        <v>1104</v>
      </c>
      <c r="D227" s="14" t="s">
        <v>1076</v>
      </c>
      <c r="E227" s="15"/>
      <c r="F227" s="15"/>
      <c r="G227" s="15"/>
      <c r="H227" s="15"/>
      <c r="I227" s="15"/>
      <c r="J227" s="15"/>
      <c r="K227" s="15"/>
      <c r="L227" s="15"/>
      <c r="M227" s="16" t="s">
        <v>66</v>
      </c>
      <c r="N227" s="17" t="str">
        <f aca="false">IFERROR(AVERAGE(N228:N229),"")</f>
        <v/>
      </c>
      <c r="O227" s="14"/>
      <c r="P227" s="14" t="s">
        <v>1105</v>
      </c>
      <c r="Q227" s="14" t="s">
        <v>1106</v>
      </c>
    </row>
    <row r="228" customFormat="false" ht="22.35" hidden="false" customHeight="false" outlineLevel="0" collapsed="false">
      <c r="A228" s="6" t="s">
        <v>1107</v>
      </c>
      <c r="B228" s="18" t="s">
        <v>1074</v>
      </c>
      <c r="C228" s="6" t="s">
        <v>1108</v>
      </c>
      <c r="E228" s="19" t="s">
        <v>97</v>
      </c>
      <c r="F228" s="20" t="s">
        <v>79</v>
      </c>
      <c r="G228" s="20" t="s">
        <v>74</v>
      </c>
      <c r="H228" s="20" t="s">
        <v>97</v>
      </c>
      <c r="I228" s="20" t="s">
        <v>97</v>
      </c>
      <c r="J228" s="22" t="n">
        <v>0</v>
      </c>
      <c r="K228" s="29" t="n">
        <v>4</v>
      </c>
      <c r="L228" s="18" t="s">
        <v>98</v>
      </c>
      <c r="M228" s="30"/>
      <c r="N228" s="25" t="str">
        <f aca="false">IF(AND(ISNUMBER(J228),ISNUMBER(K228),ISNUMBER(M228),K228&lt;&gt;J228),MAX(0,MIN(1,(M228-J228)/(K228-J228))),"")</f>
        <v/>
      </c>
      <c r="O228" s="26"/>
      <c r="P228" s="6"/>
      <c r="Q228" s="6"/>
    </row>
    <row r="229" customFormat="false" ht="22.35" hidden="false" customHeight="false" outlineLevel="0" collapsed="false">
      <c r="A229" s="6" t="s">
        <v>1109</v>
      </c>
      <c r="B229" s="18" t="s">
        <v>1074</v>
      </c>
      <c r="C229" s="6" t="s">
        <v>1110</v>
      </c>
      <c r="E229" s="19" t="s">
        <v>97</v>
      </c>
      <c r="F229" s="20" t="s">
        <v>93</v>
      </c>
      <c r="G229" s="20" t="s">
        <v>74</v>
      </c>
      <c r="H229" s="20" t="s">
        <v>97</v>
      </c>
      <c r="I229" s="20" t="s">
        <v>97</v>
      </c>
      <c r="J229" s="22" t="n">
        <v>0</v>
      </c>
      <c r="K229" s="29" t="n">
        <v>95</v>
      </c>
      <c r="L229" s="18" t="s">
        <v>98</v>
      </c>
      <c r="M229" s="30"/>
      <c r="N229" s="25" t="str">
        <f aca="false">IF(AND(ISNUMBER(J229),ISNUMBER(K229),ISNUMBER(M229),K229&lt;&gt;J229),MAX(0,MIN(1,(M229-J229)/(K229-J229))),"")</f>
        <v/>
      </c>
      <c r="O229" s="31" t="s">
        <v>1111</v>
      </c>
      <c r="P229" s="6"/>
      <c r="Q229" s="6"/>
    </row>
    <row r="230" customFormat="false" ht="24" hidden="false" customHeight="true" outlineLevel="0" collapsed="false">
      <c r="A230" s="35" t="s">
        <v>1112</v>
      </c>
      <c r="B230" s="34"/>
      <c r="C230" s="34"/>
      <c r="D230" s="34"/>
      <c r="E230" s="34"/>
      <c r="F230" s="34"/>
      <c r="G230" s="34"/>
      <c r="H230" s="34"/>
      <c r="I230" s="34"/>
      <c r="J230" s="34"/>
      <c r="K230" s="34"/>
      <c r="L230" s="34"/>
      <c r="M230" s="34"/>
      <c r="N230" s="34"/>
      <c r="O230" s="34"/>
      <c r="P230" s="34"/>
      <c r="Q230" s="34"/>
    </row>
    <row r="231" customFormat="false" ht="55.5" hidden="false" customHeight="true" outlineLevel="0" collapsed="false">
      <c r="A231" s="12" t="s">
        <v>1113</v>
      </c>
      <c r="B231" s="12" t="s">
        <v>1114</v>
      </c>
      <c r="C231" s="13" t="s">
        <v>1115</v>
      </c>
      <c r="D231" s="14" t="s">
        <v>1116</v>
      </c>
      <c r="E231" s="15"/>
      <c r="F231" s="15"/>
      <c r="G231" s="15"/>
      <c r="H231" s="15"/>
      <c r="I231" s="15"/>
      <c r="J231" s="15"/>
      <c r="K231" s="15"/>
      <c r="L231" s="15"/>
      <c r="M231" s="16" t="s">
        <v>66</v>
      </c>
      <c r="N231" s="17" t="str">
        <f aca="false">IFERROR(AVERAGE(N232:N233),"")</f>
        <v/>
      </c>
      <c r="O231" s="14"/>
      <c r="P231" s="14" t="s">
        <v>1117</v>
      </c>
      <c r="Q231" s="14"/>
    </row>
    <row r="232" customFormat="false" ht="22.35" hidden="false" customHeight="false" outlineLevel="0" collapsed="false">
      <c r="A232" s="6" t="s">
        <v>1118</v>
      </c>
      <c r="B232" s="18" t="s">
        <v>1114</v>
      </c>
      <c r="C232" s="6" t="s">
        <v>1119</v>
      </c>
      <c r="E232" s="19" t="s">
        <v>97</v>
      </c>
      <c r="F232" s="20" t="s">
        <v>93</v>
      </c>
      <c r="G232" s="20" t="s">
        <v>74</v>
      </c>
      <c r="H232" s="20" t="s">
        <v>97</v>
      </c>
      <c r="I232" s="20" t="s">
        <v>97</v>
      </c>
      <c r="J232" s="22" t="n">
        <v>0</v>
      </c>
      <c r="K232" s="29" t="n">
        <v>85</v>
      </c>
      <c r="L232" s="18" t="s">
        <v>98</v>
      </c>
      <c r="M232" s="30"/>
      <c r="N232" s="25" t="str">
        <f aca="false">IF(AND(ISNUMBER(J232),ISNUMBER(K232),ISNUMBER(M232),K232&lt;&gt;J232),MAX(0,MIN(1,(M232-J232)/(K232-J232))),"")</f>
        <v/>
      </c>
      <c r="O232" s="26"/>
      <c r="P232" s="6"/>
      <c r="Q232" s="6"/>
    </row>
    <row r="233" customFormat="false" ht="22.35" hidden="false" customHeight="false" outlineLevel="0" collapsed="false">
      <c r="A233" s="6" t="s">
        <v>1120</v>
      </c>
      <c r="B233" s="18" t="s">
        <v>1114</v>
      </c>
      <c r="C233" s="6" t="s">
        <v>1121</v>
      </c>
      <c r="E233" s="19" t="s">
        <v>97</v>
      </c>
      <c r="F233" s="20" t="s">
        <v>93</v>
      </c>
      <c r="G233" s="20" t="s">
        <v>118</v>
      </c>
      <c r="H233" s="20" t="s">
        <v>97</v>
      </c>
      <c r="I233" s="20" t="s">
        <v>97</v>
      </c>
      <c r="J233" s="22" t="n">
        <v>0</v>
      </c>
      <c r="K233" s="29" t="n">
        <v>-5</v>
      </c>
      <c r="L233" s="18" t="s">
        <v>792</v>
      </c>
      <c r="M233" s="30"/>
      <c r="N233" s="25" t="str">
        <f aca="false">IF(AND(ISNUMBER(J233),ISNUMBER(K233),ISNUMBER(M233),K233&lt;&gt;J233),MAX(0,MIN(1,(M233-J233)/(K233-J233))),"")</f>
        <v/>
      </c>
      <c r="O233" s="26"/>
      <c r="P233" s="6"/>
      <c r="Q233" s="6"/>
    </row>
    <row r="234" customFormat="false" ht="45" hidden="false" customHeight="true" outlineLevel="0" collapsed="false">
      <c r="A234" s="12" t="s">
        <v>1122</v>
      </c>
      <c r="B234" s="12" t="s">
        <v>1114</v>
      </c>
      <c r="C234" s="13" t="s">
        <v>1123</v>
      </c>
      <c r="D234" s="14" t="s">
        <v>1124</v>
      </c>
      <c r="E234" s="15"/>
      <c r="F234" s="15"/>
      <c r="G234" s="15"/>
      <c r="H234" s="15"/>
      <c r="I234" s="15"/>
      <c r="J234" s="15"/>
      <c r="K234" s="15"/>
      <c r="L234" s="15"/>
      <c r="M234" s="16" t="s">
        <v>66</v>
      </c>
      <c r="N234" s="17" t="str">
        <f aca="false">IFERROR(AVERAGE(N235:N238),"")</f>
        <v/>
      </c>
      <c r="O234" s="14"/>
      <c r="P234" s="14" t="s">
        <v>1125</v>
      </c>
      <c r="Q234" s="14"/>
    </row>
    <row r="235" customFormat="false" ht="22.35" hidden="false" customHeight="false" outlineLevel="0" collapsed="false">
      <c r="A235" s="6" t="s">
        <v>1126</v>
      </c>
      <c r="B235" s="18" t="s">
        <v>1114</v>
      </c>
      <c r="C235" s="6" t="s">
        <v>1127</v>
      </c>
      <c r="E235" s="19" t="s">
        <v>1128</v>
      </c>
      <c r="F235" s="20" t="s">
        <v>73</v>
      </c>
      <c r="G235" s="20" t="s">
        <v>74</v>
      </c>
      <c r="H235" s="20" t="s">
        <v>97</v>
      </c>
      <c r="I235" s="22" t="n">
        <v>0</v>
      </c>
      <c r="J235" s="22" t="n">
        <v>0</v>
      </c>
      <c r="K235" s="36" t="s">
        <v>1097</v>
      </c>
      <c r="L235" s="18" t="s">
        <v>1098</v>
      </c>
      <c r="M235" s="27" t="n">
        <v>0</v>
      </c>
      <c r="N235" s="25" t="str">
        <f aca="false">IF(AND(ISNUMBER(J235),ISNUMBER(K235),ISNUMBER(M235),K235&lt;&gt;J235),MAX(0,MIN(1,(M235-J235)/(K235-J235))),"")</f>
        <v/>
      </c>
      <c r="O235" s="31" t="s">
        <v>1099</v>
      </c>
      <c r="P235" s="6"/>
      <c r="Q235" s="6"/>
    </row>
    <row r="236" customFormat="false" ht="22.35" hidden="false" customHeight="false" outlineLevel="0" collapsed="false">
      <c r="A236" s="6" t="s">
        <v>1129</v>
      </c>
      <c r="B236" s="18" t="s">
        <v>1114</v>
      </c>
      <c r="C236" s="6" t="s">
        <v>1130</v>
      </c>
      <c r="E236" s="19" t="s">
        <v>1131</v>
      </c>
      <c r="F236" s="20" t="s">
        <v>73</v>
      </c>
      <c r="G236" s="20" t="s">
        <v>74</v>
      </c>
      <c r="H236" s="20" t="s">
        <v>97</v>
      </c>
      <c r="I236" s="22" t="n">
        <v>0</v>
      </c>
      <c r="J236" s="22" t="n">
        <v>0</v>
      </c>
      <c r="K236" s="36" t="s">
        <v>1097</v>
      </c>
      <c r="L236" s="18" t="s">
        <v>1098</v>
      </c>
      <c r="M236" s="27" t="n">
        <v>0</v>
      </c>
      <c r="N236" s="25" t="str">
        <f aca="false">IF(AND(ISNUMBER(J236),ISNUMBER(K236),ISNUMBER(M236),K236&lt;&gt;J236),MAX(0,MIN(1,(M236-J236)/(K236-J236))),"")</f>
        <v/>
      </c>
      <c r="O236" s="31" t="s">
        <v>1099</v>
      </c>
      <c r="P236" s="6"/>
      <c r="Q236" s="6"/>
    </row>
    <row r="237" customFormat="false" ht="22.35" hidden="false" customHeight="false" outlineLevel="0" collapsed="false">
      <c r="A237" s="6" t="s">
        <v>1132</v>
      </c>
      <c r="B237" s="18" t="s">
        <v>1114</v>
      </c>
      <c r="C237" s="6" t="s">
        <v>1133</v>
      </c>
      <c r="E237" s="19" t="s">
        <v>97</v>
      </c>
      <c r="F237" s="20" t="s">
        <v>93</v>
      </c>
      <c r="G237" s="20" t="s">
        <v>74</v>
      </c>
      <c r="H237" s="20" t="s">
        <v>97</v>
      </c>
      <c r="I237" s="20" t="s">
        <v>97</v>
      </c>
      <c r="J237" s="22" t="n">
        <v>0</v>
      </c>
      <c r="K237" s="29" t="n">
        <v>80</v>
      </c>
      <c r="L237" s="18" t="s">
        <v>98</v>
      </c>
      <c r="M237" s="30"/>
      <c r="N237" s="25" t="str">
        <f aca="false">IF(AND(ISNUMBER(J237),ISNUMBER(K237),ISNUMBER(M237),K237&lt;&gt;J237),MAX(0,MIN(1,(M237-J237)/(K237-J237))),"")</f>
        <v/>
      </c>
      <c r="O237" s="26"/>
      <c r="P237" s="6"/>
      <c r="Q237" s="6"/>
    </row>
    <row r="238" customFormat="false" ht="22.35" hidden="false" customHeight="false" outlineLevel="0" collapsed="false">
      <c r="A238" s="6" t="s">
        <v>1134</v>
      </c>
      <c r="B238" s="18" t="s">
        <v>1114</v>
      </c>
      <c r="C238" s="6" t="s">
        <v>1110</v>
      </c>
      <c r="E238" s="19" t="s">
        <v>97</v>
      </c>
      <c r="F238" s="20" t="s">
        <v>93</v>
      </c>
      <c r="G238" s="20" t="s">
        <v>74</v>
      </c>
      <c r="H238" s="20" t="s">
        <v>97</v>
      </c>
      <c r="I238" s="20" t="s">
        <v>97</v>
      </c>
      <c r="J238" s="22" t="n">
        <v>0</v>
      </c>
      <c r="K238" s="29" t="n">
        <v>95</v>
      </c>
      <c r="L238" s="18" t="s">
        <v>98</v>
      </c>
      <c r="M238" s="30"/>
      <c r="N238" s="25" t="str">
        <f aca="false">IF(AND(ISNUMBER(J238),ISNUMBER(K238),ISNUMBER(M238),K238&lt;&gt;J238),MAX(0,MIN(1,(M238-J238)/(K238-J238))),"")</f>
        <v/>
      </c>
      <c r="O238" s="31" t="s">
        <v>1111</v>
      </c>
      <c r="P238" s="6"/>
      <c r="Q238" s="6"/>
    </row>
    <row r="239" customFormat="false" ht="81" hidden="false" customHeight="true" outlineLevel="0" collapsed="false">
      <c r="A239" s="12" t="s">
        <v>1135</v>
      </c>
      <c r="B239" s="12" t="s">
        <v>1114</v>
      </c>
      <c r="C239" s="13" t="s">
        <v>1136</v>
      </c>
      <c r="D239" s="14" t="s">
        <v>1124</v>
      </c>
      <c r="E239" s="15"/>
      <c r="F239" s="15"/>
      <c r="G239" s="15"/>
      <c r="H239" s="15"/>
      <c r="I239" s="15"/>
      <c r="J239" s="15"/>
      <c r="K239" s="15"/>
      <c r="L239" s="15"/>
      <c r="M239" s="16" t="s">
        <v>66</v>
      </c>
      <c r="N239" s="17" t="n">
        <f aca="false">IFERROR(AVERAGE(N240:N241),"")</f>
        <v>0</v>
      </c>
      <c r="O239" s="14"/>
      <c r="P239" s="14" t="s">
        <v>1137</v>
      </c>
      <c r="Q239" s="14" t="s">
        <v>1138</v>
      </c>
    </row>
    <row r="240" customFormat="false" ht="22.35" hidden="false" customHeight="false" outlineLevel="0" collapsed="false">
      <c r="A240" s="6" t="s">
        <v>1139</v>
      </c>
      <c r="B240" s="18" t="s">
        <v>1114</v>
      </c>
      <c r="C240" s="6" t="s">
        <v>1140</v>
      </c>
      <c r="E240" s="19" t="s">
        <v>1141</v>
      </c>
      <c r="F240" s="20" t="s">
        <v>93</v>
      </c>
      <c r="G240" s="20" t="s">
        <v>118</v>
      </c>
      <c r="H240" s="20" t="s">
        <v>97</v>
      </c>
      <c r="I240" s="22" t="n">
        <v>7.83</v>
      </c>
      <c r="J240" s="22" t="n">
        <v>7.83</v>
      </c>
      <c r="K240" s="28" t="n">
        <v>7</v>
      </c>
      <c r="L240" s="18" t="s">
        <v>119</v>
      </c>
      <c r="M240" s="27" t="n">
        <v>7.83</v>
      </c>
      <c r="N240" s="25" t="n">
        <f aca="false">IF(AND(ISNUMBER(J240),ISNUMBER(K240),ISNUMBER(M240),K240&lt;&gt;J240),MAX(0,MIN(1,(M240-J240)/(K240-J240))),"")</f>
        <v>-0</v>
      </c>
      <c r="O240" s="26"/>
      <c r="P240" s="6"/>
      <c r="Q240" s="6"/>
    </row>
    <row r="241" customFormat="false" ht="22.35" hidden="false" customHeight="false" outlineLevel="0" collapsed="false">
      <c r="A241" s="6" t="s">
        <v>1142</v>
      </c>
      <c r="B241" s="18" t="s">
        <v>1114</v>
      </c>
      <c r="C241" s="6" t="s">
        <v>1143</v>
      </c>
      <c r="E241" s="19" t="s">
        <v>97</v>
      </c>
      <c r="F241" s="20" t="s">
        <v>93</v>
      </c>
      <c r="G241" s="20" t="s">
        <v>118</v>
      </c>
      <c r="H241" s="20" t="s">
        <v>97</v>
      </c>
      <c r="I241" s="20" t="s">
        <v>97</v>
      </c>
      <c r="J241" s="20" t="s">
        <v>97</v>
      </c>
      <c r="K241" s="29" t="n">
        <v>2</v>
      </c>
      <c r="L241" s="18" t="s">
        <v>98</v>
      </c>
      <c r="M241" s="30"/>
      <c r="N241" s="25" t="str">
        <f aca="false">IF(AND(ISNUMBER(J241),ISNUMBER(K241),ISNUMBER(M241),K241&lt;&gt;J241),MAX(0,MIN(1,(M241-J241)/(K241-J241))),"")</f>
        <v/>
      </c>
      <c r="O241" s="26"/>
      <c r="P241" s="6"/>
      <c r="Q241" s="6"/>
    </row>
    <row r="242" customFormat="false" ht="24" hidden="false" customHeight="true" outlineLevel="0" collapsed="false">
      <c r="A242" s="35" t="s">
        <v>1144</v>
      </c>
      <c r="B242" s="34"/>
      <c r="C242" s="34"/>
      <c r="D242" s="34"/>
      <c r="E242" s="34"/>
      <c r="F242" s="34"/>
      <c r="G242" s="34"/>
      <c r="H242" s="34"/>
      <c r="I242" s="34"/>
      <c r="J242" s="34"/>
      <c r="K242" s="34"/>
      <c r="L242" s="34"/>
      <c r="M242" s="34"/>
      <c r="N242" s="34"/>
      <c r="O242" s="34"/>
      <c r="P242" s="34"/>
      <c r="Q242" s="34"/>
    </row>
    <row r="243" customFormat="false" ht="45" hidden="false" customHeight="true" outlineLevel="0" collapsed="false">
      <c r="A243" s="12" t="s">
        <v>1145</v>
      </c>
      <c r="B243" s="12" t="s">
        <v>1146</v>
      </c>
      <c r="C243" s="13" t="s">
        <v>1147</v>
      </c>
      <c r="D243" s="14" t="s">
        <v>1116</v>
      </c>
      <c r="E243" s="15"/>
      <c r="F243" s="15"/>
      <c r="G243" s="15"/>
      <c r="H243" s="15"/>
      <c r="I243" s="15"/>
      <c r="J243" s="15"/>
      <c r="K243" s="15"/>
      <c r="L243" s="15"/>
      <c r="M243" s="16" t="s">
        <v>66</v>
      </c>
      <c r="N243" s="17" t="str">
        <f aca="false">IFERROR(AVERAGE(N244:N246),"")</f>
        <v/>
      </c>
      <c r="O243" s="14"/>
      <c r="P243" s="14" t="s">
        <v>1148</v>
      </c>
      <c r="Q243" s="14" t="s">
        <v>1149</v>
      </c>
    </row>
    <row r="244" customFormat="false" ht="22.35" hidden="false" customHeight="false" outlineLevel="0" collapsed="false">
      <c r="A244" s="6" t="s">
        <v>1150</v>
      </c>
      <c r="B244" s="18" t="s">
        <v>1146</v>
      </c>
      <c r="C244" s="6" t="s">
        <v>1151</v>
      </c>
      <c r="E244" s="19" t="s">
        <v>1152</v>
      </c>
      <c r="F244" s="20" t="s">
        <v>73</v>
      </c>
      <c r="G244" s="20" t="s">
        <v>74</v>
      </c>
      <c r="H244" s="20" t="s">
        <v>97</v>
      </c>
      <c r="I244" s="22" t="n">
        <v>0</v>
      </c>
      <c r="J244" s="22" t="n">
        <v>0</v>
      </c>
      <c r="K244" s="36" t="s">
        <v>1097</v>
      </c>
      <c r="L244" s="18" t="s">
        <v>1098</v>
      </c>
      <c r="M244" s="27" t="n">
        <v>0</v>
      </c>
      <c r="N244" s="25" t="str">
        <f aca="false">IF(AND(ISNUMBER(J244),ISNUMBER(K244),ISNUMBER(M244),K244&lt;&gt;J244),MAX(0,MIN(1,(M244-J244)/(K244-J244))),"")</f>
        <v/>
      </c>
      <c r="O244" s="31" t="s">
        <v>1099</v>
      </c>
      <c r="P244" s="6"/>
      <c r="Q244" s="6"/>
    </row>
    <row r="245" customFormat="false" ht="15" hidden="false" customHeight="false" outlineLevel="0" collapsed="false">
      <c r="A245" s="6" t="s">
        <v>1153</v>
      </c>
      <c r="B245" s="18" t="s">
        <v>1146</v>
      </c>
      <c r="C245" s="6" t="s">
        <v>1154</v>
      </c>
      <c r="E245" s="19" t="s">
        <v>97</v>
      </c>
      <c r="F245" s="20" t="s">
        <v>79</v>
      </c>
      <c r="G245" s="20" t="s">
        <v>74</v>
      </c>
      <c r="H245" s="20" t="s">
        <v>97</v>
      </c>
      <c r="I245" s="20" t="s">
        <v>97</v>
      </c>
      <c r="J245" s="22" t="n">
        <v>0</v>
      </c>
      <c r="K245" s="29" t="n">
        <v>2</v>
      </c>
      <c r="L245" s="18" t="s">
        <v>98</v>
      </c>
      <c r="M245" s="30"/>
      <c r="N245" s="25" t="str">
        <f aca="false">IF(AND(ISNUMBER(J245),ISNUMBER(K245),ISNUMBER(M245),K245&lt;&gt;J245),MAX(0,MIN(1,(M245-J245)/(K245-J245))),"")</f>
        <v/>
      </c>
      <c r="O245" s="26"/>
      <c r="P245" s="6"/>
      <c r="Q245" s="6"/>
    </row>
    <row r="246" customFormat="false" ht="22.35" hidden="false" customHeight="false" outlineLevel="0" collapsed="false">
      <c r="A246" s="6" t="s">
        <v>1155</v>
      </c>
      <c r="B246" s="18" t="s">
        <v>1146</v>
      </c>
      <c r="C246" s="6" t="s">
        <v>1110</v>
      </c>
      <c r="E246" s="19" t="s">
        <v>97</v>
      </c>
      <c r="F246" s="20" t="s">
        <v>93</v>
      </c>
      <c r="G246" s="20" t="s">
        <v>74</v>
      </c>
      <c r="H246" s="20" t="s">
        <v>97</v>
      </c>
      <c r="I246" s="20" t="s">
        <v>97</v>
      </c>
      <c r="J246" s="22" t="n">
        <v>0</v>
      </c>
      <c r="K246" s="29" t="n">
        <v>95</v>
      </c>
      <c r="L246" s="18" t="s">
        <v>98</v>
      </c>
      <c r="M246" s="30"/>
      <c r="N246" s="25" t="str">
        <f aca="false">IF(AND(ISNUMBER(J246),ISNUMBER(K246),ISNUMBER(M246),K246&lt;&gt;J246),MAX(0,MIN(1,(M246-J246)/(K246-J246))),"")</f>
        <v/>
      </c>
      <c r="O246" s="31" t="s">
        <v>1111</v>
      </c>
      <c r="P246" s="6"/>
      <c r="Q246" s="6"/>
    </row>
    <row r="247" customFormat="false" ht="55.5" hidden="false" customHeight="true" outlineLevel="0" collapsed="false">
      <c r="A247" s="12" t="s">
        <v>1156</v>
      </c>
      <c r="B247" s="12" t="s">
        <v>1146</v>
      </c>
      <c r="C247" s="13" t="s">
        <v>1157</v>
      </c>
      <c r="D247" s="14" t="s">
        <v>1124</v>
      </c>
      <c r="E247" s="15"/>
      <c r="F247" s="15"/>
      <c r="G247" s="15"/>
      <c r="H247" s="15"/>
      <c r="I247" s="15"/>
      <c r="J247" s="15"/>
      <c r="K247" s="15"/>
      <c r="L247" s="15"/>
      <c r="M247" s="16" t="s">
        <v>66</v>
      </c>
      <c r="N247" s="17" t="str">
        <f aca="false">IFERROR(AVERAGE(N248:N250),"")</f>
        <v/>
      </c>
      <c r="O247" s="14"/>
      <c r="P247" s="14" t="s">
        <v>1158</v>
      </c>
      <c r="Q247" s="14"/>
    </row>
    <row r="248" customFormat="false" ht="22.35" hidden="false" customHeight="false" outlineLevel="0" collapsed="false">
      <c r="A248" s="6" t="s">
        <v>1159</v>
      </c>
      <c r="B248" s="18" t="s">
        <v>1146</v>
      </c>
      <c r="C248" s="6" t="s">
        <v>1160</v>
      </c>
      <c r="E248" s="19" t="s">
        <v>1161</v>
      </c>
      <c r="F248" s="20" t="s">
        <v>73</v>
      </c>
      <c r="G248" s="20" t="s">
        <v>74</v>
      </c>
      <c r="H248" s="20" t="s">
        <v>97</v>
      </c>
      <c r="I248" s="22" t="n">
        <v>0</v>
      </c>
      <c r="J248" s="22" t="n">
        <v>0</v>
      </c>
      <c r="K248" s="36" t="s">
        <v>1097</v>
      </c>
      <c r="L248" s="18" t="s">
        <v>1098</v>
      </c>
      <c r="M248" s="27" t="n">
        <v>0</v>
      </c>
      <c r="N248" s="25" t="str">
        <f aca="false">IF(AND(ISNUMBER(J248),ISNUMBER(K248),ISNUMBER(M248),K248&lt;&gt;J248),MAX(0,MIN(1,(M248-J248)/(K248-J248))),"")</f>
        <v/>
      </c>
      <c r="O248" s="31" t="s">
        <v>1099</v>
      </c>
      <c r="P248" s="6"/>
      <c r="Q248" s="6"/>
    </row>
    <row r="249" customFormat="false" ht="15" hidden="false" customHeight="false" outlineLevel="0" collapsed="false">
      <c r="A249" s="6" t="s">
        <v>1162</v>
      </c>
      <c r="B249" s="18" t="s">
        <v>1146</v>
      </c>
      <c r="C249" s="6" t="s">
        <v>1163</v>
      </c>
      <c r="E249" s="19" t="s">
        <v>97</v>
      </c>
      <c r="F249" s="20" t="s">
        <v>93</v>
      </c>
      <c r="G249" s="20" t="s">
        <v>74</v>
      </c>
      <c r="H249" s="20" t="s">
        <v>97</v>
      </c>
      <c r="I249" s="20" t="s">
        <v>97</v>
      </c>
      <c r="J249" s="22" t="n">
        <v>0</v>
      </c>
      <c r="K249" s="29" t="n">
        <v>100</v>
      </c>
      <c r="L249" s="18" t="s">
        <v>98</v>
      </c>
      <c r="M249" s="30"/>
      <c r="N249" s="25" t="str">
        <f aca="false">IF(AND(ISNUMBER(J249),ISNUMBER(K249),ISNUMBER(M249),K249&lt;&gt;J249),MAX(0,MIN(1,(M249-J249)/(K249-J249))),"")</f>
        <v/>
      </c>
      <c r="O249" s="26"/>
      <c r="P249" s="6"/>
      <c r="Q249" s="6"/>
    </row>
    <row r="250" customFormat="false" ht="15" hidden="false" customHeight="false" outlineLevel="0" collapsed="false">
      <c r="A250" s="6" t="s">
        <v>1164</v>
      </c>
      <c r="B250" s="18" t="s">
        <v>1146</v>
      </c>
      <c r="C250" s="6" t="s">
        <v>1165</v>
      </c>
      <c r="E250" s="19" t="s">
        <v>97</v>
      </c>
      <c r="F250" s="20" t="s">
        <v>93</v>
      </c>
      <c r="G250" s="20" t="s">
        <v>74</v>
      </c>
      <c r="H250" s="20" t="s">
        <v>97</v>
      </c>
      <c r="I250" s="20" t="s">
        <v>97</v>
      </c>
      <c r="J250" s="22" t="n">
        <v>0</v>
      </c>
      <c r="K250" s="29" t="n">
        <v>100</v>
      </c>
      <c r="L250" s="18" t="s">
        <v>98</v>
      </c>
      <c r="M250" s="30"/>
      <c r="N250" s="25" t="str">
        <f aca="false">IF(AND(ISNUMBER(J250),ISNUMBER(K250),ISNUMBER(M250),K250&lt;&gt;J250),MAX(0,MIN(1,(M250-J250)/(K250-J250))),"")</f>
        <v/>
      </c>
      <c r="O250" s="26"/>
      <c r="P250" s="6"/>
      <c r="Q250" s="6"/>
    </row>
    <row r="251" customFormat="false" ht="143.25" hidden="false" customHeight="true" outlineLevel="0" collapsed="false">
      <c r="A251" s="12" t="s">
        <v>1166</v>
      </c>
      <c r="B251" s="12" t="s">
        <v>1146</v>
      </c>
      <c r="C251" s="13" t="s">
        <v>1167</v>
      </c>
      <c r="D251" s="14" t="s">
        <v>1124</v>
      </c>
      <c r="E251" s="15"/>
      <c r="F251" s="15"/>
      <c r="G251" s="15"/>
      <c r="H251" s="15"/>
      <c r="I251" s="15"/>
      <c r="J251" s="15"/>
      <c r="K251" s="15"/>
      <c r="L251" s="15"/>
      <c r="M251" s="16" t="s">
        <v>66</v>
      </c>
      <c r="N251" s="17" t="str">
        <f aca="false">IFERROR(AVERAGE(N252:N254),"")</f>
        <v/>
      </c>
      <c r="O251" s="14"/>
      <c r="P251" s="14" t="s">
        <v>1168</v>
      </c>
      <c r="Q251" s="14" t="s">
        <v>1169</v>
      </c>
    </row>
    <row r="252" customFormat="false" ht="22.35" hidden="false" customHeight="false" outlineLevel="0" collapsed="false">
      <c r="A252" s="6" t="s">
        <v>1170</v>
      </c>
      <c r="B252" s="18" t="s">
        <v>1146</v>
      </c>
      <c r="C252" s="6" t="s">
        <v>1171</v>
      </c>
      <c r="E252" s="19" t="s">
        <v>1172</v>
      </c>
      <c r="F252" s="20" t="s">
        <v>73</v>
      </c>
      <c r="G252" s="20" t="s">
        <v>74</v>
      </c>
      <c r="H252" s="20" t="s">
        <v>97</v>
      </c>
      <c r="I252" s="22" t="n">
        <v>0</v>
      </c>
      <c r="J252" s="22" t="n">
        <v>0</v>
      </c>
      <c r="K252" s="36" t="s">
        <v>1097</v>
      </c>
      <c r="L252" s="18" t="s">
        <v>1098</v>
      </c>
      <c r="M252" s="27" t="n">
        <v>0</v>
      </c>
      <c r="N252" s="25" t="str">
        <f aca="false">IF(AND(ISNUMBER(J252),ISNUMBER(K252),ISNUMBER(M252),K252&lt;&gt;J252),MAX(0,MIN(1,(M252-J252)/(K252-J252))),"")</f>
        <v/>
      </c>
      <c r="O252" s="31" t="s">
        <v>1099</v>
      </c>
      <c r="P252" s="6"/>
      <c r="Q252" s="6"/>
    </row>
    <row r="253" customFormat="false" ht="15" hidden="false" customHeight="false" outlineLevel="0" collapsed="false">
      <c r="A253" s="6" t="s">
        <v>1173</v>
      </c>
      <c r="B253" s="18" t="s">
        <v>1146</v>
      </c>
      <c r="C253" s="6" t="s">
        <v>1174</v>
      </c>
      <c r="E253" s="19" t="s">
        <v>97</v>
      </c>
      <c r="F253" s="20" t="s">
        <v>93</v>
      </c>
      <c r="G253" s="20" t="s">
        <v>74</v>
      </c>
      <c r="H253" s="20" t="s">
        <v>97</v>
      </c>
      <c r="I253" s="20" t="s">
        <v>97</v>
      </c>
      <c r="J253" s="22" t="n">
        <v>0</v>
      </c>
      <c r="K253" s="29" t="n">
        <v>15</v>
      </c>
      <c r="L253" s="18" t="s">
        <v>98</v>
      </c>
      <c r="M253" s="30"/>
      <c r="N253" s="25" t="str">
        <f aca="false">IF(AND(ISNUMBER(J253),ISNUMBER(K253),ISNUMBER(M253),K253&lt;&gt;J253),MAX(0,MIN(1,(M253-J253)/(K253-J253))),"")</f>
        <v/>
      </c>
      <c r="O253" s="26"/>
      <c r="P253" s="6"/>
      <c r="Q253" s="6"/>
    </row>
    <row r="254" customFormat="false" ht="15" hidden="false" customHeight="false" outlineLevel="0" collapsed="false">
      <c r="A254" s="6" t="s">
        <v>1175</v>
      </c>
      <c r="B254" s="18" t="s">
        <v>1146</v>
      </c>
      <c r="C254" s="6" t="s">
        <v>1176</v>
      </c>
      <c r="E254" s="19" t="s">
        <v>97</v>
      </c>
      <c r="F254" s="20" t="s">
        <v>93</v>
      </c>
      <c r="G254" s="20" t="s">
        <v>74</v>
      </c>
      <c r="H254" s="20" t="s">
        <v>97</v>
      </c>
      <c r="I254" s="20" t="s">
        <v>97</v>
      </c>
      <c r="J254" s="22" t="n">
        <v>0</v>
      </c>
      <c r="K254" s="29" t="n">
        <v>90</v>
      </c>
      <c r="L254" s="18" t="s">
        <v>98</v>
      </c>
      <c r="M254" s="30"/>
      <c r="N254" s="25" t="str">
        <f aca="false">IF(AND(ISNUMBER(J254),ISNUMBER(K254),ISNUMBER(M254),K254&lt;&gt;J254),MAX(0,MIN(1,(M254-J254)/(K254-J254))),"")</f>
        <v/>
      </c>
      <c r="O254" s="26"/>
      <c r="P254" s="6"/>
      <c r="Q254" s="6"/>
    </row>
    <row r="255" customFormat="false" ht="24" hidden="false" customHeight="true" outlineLevel="0" collapsed="false">
      <c r="A255" s="35" t="s">
        <v>1177</v>
      </c>
      <c r="B255" s="34"/>
      <c r="C255" s="34"/>
      <c r="D255" s="34"/>
      <c r="E255" s="34"/>
      <c r="F255" s="34"/>
      <c r="G255" s="34"/>
      <c r="H255" s="34"/>
      <c r="I255" s="34"/>
      <c r="J255" s="34"/>
      <c r="K255" s="34"/>
      <c r="L255" s="34"/>
      <c r="M255" s="34"/>
      <c r="N255" s="34"/>
      <c r="O255" s="34"/>
      <c r="P255" s="34"/>
      <c r="Q255" s="34"/>
    </row>
    <row r="256" customFormat="false" ht="130.5" hidden="false" customHeight="true" outlineLevel="0" collapsed="false">
      <c r="A256" s="12" t="s">
        <v>1178</v>
      </c>
      <c r="B256" s="12" t="s">
        <v>1179</v>
      </c>
      <c r="C256" s="13" t="s">
        <v>1180</v>
      </c>
      <c r="D256" s="14" t="s">
        <v>1116</v>
      </c>
      <c r="E256" s="15"/>
      <c r="F256" s="15"/>
      <c r="G256" s="15"/>
      <c r="H256" s="15"/>
      <c r="I256" s="15"/>
      <c r="J256" s="15"/>
      <c r="K256" s="15"/>
      <c r="L256" s="15"/>
      <c r="M256" s="16" t="s">
        <v>66</v>
      </c>
      <c r="N256" s="17" t="n">
        <f aca="false">IFERROR(AVERAGE(N257:N259),"")</f>
        <v>0.25</v>
      </c>
      <c r="O256" s="14"/>
      <c r="P256" s="14" t="s">
        <v>1181</v>
      </c>
      <c r="Q256" s="14" t="s">
        <v>1182</v>
      </c>
    </row>
    <row r="257" customFormat="false" ht="15" hidden="false" customHeight="false" outlineLevel="0" collapsed="false">
      <c r="A257" s="6" t="s">
        <v>1183</v>
      </c>
      <c r="B257" s="18" t="s">
        <v>1179</v>
      </c>
      <c r="C257" s="6" t="s">
        <v>366</v>
      </c>
      <c r="E257" s="19" t="s">
        <v>367</v>
      </c>
      <c r="F257" s="20" t="s">
        <v>93</v>
      </c>
      <c r="G257" s="20" t="s">
        <v>74</v>
      </c>
      <c r="H257" s="22" t="n">
        <v>30.45</v>
      </c>
      <c r="I257" s="22" t="n">
        <v>19.54</v>
      </c>
      <c r="J257" s="22" t="n">
        <v>19.54</v>
      </c>
      <c r="K257" s="28" t="n">
        <v>75</v>
      </c>
      <c r="L257" s="18" t="s">
        <v>119</v>
      </c>
      <c r="M257" s="27" t="n">
        <v>19.54</v>
      </c>
      <c r="N257" s="25" t="n">
        <f aca="false">IF(AND(ISNUMBER(J257),ISNUMBER(K257),ISNUMBER(M257),K257&lt;&gt;J257),MAX(0,MIN(1,(M257-J257)/(K257-J257))),"")</f>
        <v>0</v>
      </c>
      <c r="O257" s="26"/>
      <c r="P257" s="6"/>
      <c r="Q257" s="6"/>
    </row>
    <row r="258" customFormat="false" ht="43.25" hidden="false" customHeight="false" outlineLevel="0" collapsed="false">
      <c r="A258" s="6" t="s">
        <v>1184</v>
      </c>
      <c r="B258" s="18" t="s">
        <v>1179</v>
      </c>
      <c r="C258" s="6" t="s">
        <v>392</v>
      </c>
      <c r="E258" s="19" t="s">
        <v>393</v>
      </c>
      <c r="F258" s="20" t="s">
        <v>73</v>
      </c>
      <c r="G258" s="20" t="s">
        <v>74</v>
      </c>
      <c r="H258" s="21" t="n">
        <v>3582</v>
      </c>
      <c r="I258" s="21" t="n">
        <v>2081</v>
      </c>
      <c r="J258" s="22" t="n">
        <v>0</v>
      </c>
      <c r="K258" s="23" t="n">
        <v>8324</v>
      </c>
      <c r="L258" s="18" t="s">
        <v>394</v>
      </c>
      <c r="M258" s="24" t="n">
        <v>2081</v>
      </c>
      <c r="N258" s="25" t="n">
        <f aca="false">IF(AND(ISNUMBER(J258),ISNUMBER(K258),ISNUMBER(M258),K258&lt;&gt;J258),MAX(0,MIN(1,(M258-J258)/(K258-J258))),"")</f>
        <v>0.25</v>
      </c>
      <c r="O258" s="26"/>
      <c r="P258" s="6"/>
      <c r="Q258" s="6"/>
    </row>
    <row r="259" customFormat="false" ht="32.8" hidden="false" customHeight="false" outlineLevel="0" collapsed="false">
      <c r="A259" s="6" t="s">
        <v>1185</v>
      </c>
      <c r="B259" s="18" t="s">
        <v>1179</v>
      </c>
      <c r="C259" s="6" t="s">
        <v>1186</v>
      </c>
      <c r="E259" s="19" t="s">
        <v>1187</v>
      </c>
      <c r="F259" s="20" t="s">
        <v>73</v>
      </c>
      <c r="G259" s="20" t="s">
        <v>74</v>
      </c>
      <c r="H259" s="21" t="n">
        <v>3582</v>
      </c>
      <c r="I259" s="21" t="n">
        <v>2081</v>
      </c>
      <c r="J259" s="22" t="n">
        <v>0</v>
      </c>
      <c r="K259" s="23" t="n">
        <v>4162</v>
      </c>
      <c r="L259" s="18" t="s">
        <v>75</v>
      </c>
      <c r="M259" s="24" t="n">
        <v>2081</v>
      </c>
      <c r="N259" s="25" t="n">
        <f aca="false">IF(AND(ISNUMBER(J259),ISNUMBER(K259),ISNUMBER(M259),K259&lt;&gt;J259),MAX(0,MIN(1,(M259-J259)/(K259-J259))),"")</f>
        <v>0.5</v>
      </c>
      <c r="O259" s="26"/>
      <c r="P259" s="6"/>
      <c r="Q259" s="6"/>
    </row>
    <row r="260" customFormat="false" ht="93" hidden="false" customHeight="true" outlineLevel="0" collapsed="false">
      <c r="A260" s="12" t="s">
        <v>1188</v>
      </c>
      <c r="B260" s="12" t="s">
        <v>1179</v>
      </c>
      <c r="C260" s="13" t="s">
        <v>1189</v>
      </c>
      <c r="D260" s="14" t="s">
        <v>1190</v>
      </c>
      <c r="E260" s="15"/>
      <c r="F260" s="15"/>
      <c r="G260" s="15"/>
      <c r="H260" s="15"/>
      <c r="I260" s="15"/>
      <c r="J260" s="15"/>
      <c r="K260" s="15"/>
      <c r="L260" s="15"/>
      <c r="M260" s="16" t="s">
        <v>66</v>
      </c>
      <c r="N260" s="17" t="n">
        <f aca="false">IFERROR(AVERAGE(N261:N263),"")</f>
        <v>0.35635113695806</v>
      </c>
      <c r="O260" s="14"/>
      <c r="P260" s="14" t="s">
        <v>1191</v>
      </c>
      <c r="Q260" s="14" t="s">
        <v>1192</v>
      </c>
    </row>
    <row r="261" customFormat="false" ht="32.8" hidden="false" customHeight="false" outlineLevel="0" collapsed="false">
      <c r="A261" s="6" t="s">
        <v>1193</v>
      </c>
      <c r="B261" s="18" t="s">
        <v>1179</v>
      </c>
      <c r="C261" s="6" t="s">
        <v>385</v>
      </c>
      <c r="E261" s="19" t="s">
        <v>386</v>
      </c>
      <c r="F261" s="20" t="s">
        <v>387</v>
      </c>
      <c r="G261" s="20" t="s">
        <v>74</v>
      </c>
      <c r="H261" s="20" t="s">
        <v>97</v>
      </c>
      <c r="I261" s="22" t="n">
        <v>124.94</v>
      </c>
      <c r="J261" s="22" t="n">
        <v>0</v>
      </c>
      <c r="K261" s="29" t="n">
        <v>450</v>
      </c>
      <c r="L261" s="18" t="s">
        <v>75</v>
      </c>
      <c r="M261" s="27" t="n">
        <v>124.94</v>
      </c>
      <c r="N261" s="25" t="n">
        <f aca="false">IF(AND(ISNUMBER(J261),ISNUMBER(K261),ISNUMBER(M261),K261&lt;&gt;J261),MAX(0,MIN(1,(M261-J261)/(K261-J261))),"")</f>
        <v>0.277644444444444</v>
      </c>
      <c r="O261" s="26"/>
      <c r="P261" s="6"/>
      <c r="Q261" s="6"/>
    </row>
    <row r="262" customFormat="false" ht="32.8" hidden="false" customHeight="false" outlineLevel="0" collapsed="false">
      <c r="A262" s="6" t="s">
        <v>1194</v>
      </c>
      <c r="B262" s="18" t="s">
        <v>1179</v>
      </c>
      <c r="C262" s="6" t="s">
        <v>1195</v>
      </c>
      <c r="E262" s="19" t="s">
        <v>1196</v>
      </c>
      <c r="F262" s="20" t="s">
        <v>387</v>
      </c>
      <c r="G262" s="20" t="s">
        <v>74</v>
      </c>
      <c r="H262" s="20" t="s">
        <v>97</v>
      </c>
      <c r="I262" s="22" t="n">
        <v>293.9</v>
      </c>
      <c r="J262" s="22" t="n">
        <v>0</v>
      </c>
      <c r="K262" s="29" t="n">
        <v>587.8</v>
      </c>
      <c r="L262" s="18" t="s">
        <v>75</v>
      </c>
      <c r="M262" s="27" t="n">
        <v>293.9</v>
      </c>
      <c r="N262" s="25" t="n">
        <f aca="false">IF(AND(ISNUMBER(J262),ISNUMBER(K262),ISNUMBER(M262),K262&lt;&gt;J262),MAX(0,MIN(1,(M262-J262)/(K262-J262))),"")</f>
        <v>0.5</v>
      </c>
      <c r="O262" s="26"/>
      <c r="P262" s="6"/>
      <c r="Q262" s="6"/>
    </row>
    <row r="263" customFormat="false" ht="32.8" hidden="false" customHeight="false" outlineLevel="0" collapsed="false">
      <c r="A263" s="6" t="s">
        <v>1197</v>
      </c>
      <c r="B263" s="18" t="s">
        <v>1179</v>
      </c>
      <c r="C263" s="6" t="s">
        <v>389</v>
      </c>
      <c r="E263" s="19" t="s">
        <v>390</v>
      </c>
      <c r="F263" s="20" t="s">
        <v>73</v>
      </c>
      <c r="G263" s="20" t="s">
        <v>74</v>
      </c>
      <c r="H263" s="20" t="s">
        <v>97</v>
      </c>
      <c r="I263" s="22" t="n">
        <v>189.41</v>
      </c>
      <c r="J263" s="22" t="n">
        <v>0</v>
      </c>
      <c r="K263" s="29" t="n">
        <v>649.98</v>
      </c>
      <c r="L263" s="18" t="s">
        <v>75</v>
      </c>
      <c r="M263" s="27" t="n">
        <v>189.41</v>
      </c>
      <c r="N263" s="25" t="n">
        <f aca="false">IF(AND(ISNUMBER(J263),ISNUMBER(K263),ISNUMBER(M263),K263&lt;&gt;J263),MAX(0,MIN(1,(M263-J263)/(K263-J263))),"")</f>
        <v>0.291408966429736</v>
      </c>
      <c r="O263" s="26"/>
      <c r="P263" s="6"/>
      <c r="Q263" s="6"/>
    </row>
    <row r="264" customFormat="false" ht="168" hidden="false" customHeight="true" outlineLevel="0" collapsed="false">
      <c r="A264" s="12" t="s">
        <v>1198</v>
      </c>
      <c r="B264" s="12" t="s">
        <v>1179</v>
      </c>
      <c r="C264" s="13" t="s">
        <v>1199</v>
      </c>
      <c r="D264" s="14" t="s">
        <v>1116</v>
      </c>
      <c r="E264" s="15"/>
      <c r="F264" s="15"/>
      <c r="G264" s="15"/>
      <c r="H264" s="15"/>
      <c r="I264" s="15"/>
      <c r="J264" s="15"/>
      <c r="K264" s="15"/>
      <c r="L264" s="15"/>
      <c r="M264" s="16" t="s">
        <v>66</v>
      </c>
      <c r="N264" s="17" t="str">
        <f aca="false">IFERROR(AVERAGE(N265:N267),"")</f>
        <v/>
      </c>
      <c r="O264" s="14"/>
      <c r="P264" s="14" t="s">
        <v>1200</v>
      </c>
      <c r="Q264" s="14" t="s">
        <v>1201</v>
      </c>
    </row>
    <row r="265" customFormat="false" ht="15" hidden="false" customHeight="false" outlineLevel="0" collapsed="false">
      <c r="A265" s="6" t="s">
        <v>1202</v>
      </c>
      <c r="B265" s="18" t="s">
        <v>1179</v>
      </c>
      <c r="C265" s="6" t="s">
        <v>1203</v>
      </c>
      <c r="E265" s="19" t="s">
        <v>97</v>
      </c>
      <c r="F265" s="20" t="s">
        <v>93</v>
      </c>
      <c r="G265" s="20" t="s">
        <v>74</v>
      </c>
      <c r="H265" s="20" t="s">
        <v>97</v>
      </c>
      <c r="I265" s="20" t="s">
        <v>97</v>
      </c>
      <c r="J265" s="22" t="n">
        <v>0</v>
      </c>
      <c r="K265" s="29" t="n">
        <v>80</v>
      </c>
      <c r="L265" s="18" t="s">
        <v>98</v>
      </c>
      <c r="M265" s="30"/>
      <c r="N265" s="25" t="str">
        <f aca="false">IF(AND(ISNUMBER(J265),ISNUMBER(K265),ISNUMBER(M265),K265&lt;&gt;J265),MAX(0,MIN(1,(M265-J265)/(K265-J265))),"")</f>
        <v/>
      </c>
      <c r="O265" s="26"/>
      <c r="P265" s="6"/>
      <c r="Q265" s="6"/>
    </row>
    <row r="266" customFormat="false" ht="22.35" hidden="false" customHeight="false" outlineLevel="0" collapsed="false">
      <c r="A266" s="6" t="s">
        <v>1204</v>
      </c>
      <c r="B266" s="18" t="s">
        <v>1179</v>
      </c>
      <c r="C266" s="6" t="s">
        <v>1205</v>
      </c>
      <c r="E266" s="19" t="s">
        <v>97</v>
      </c>
      <c r="F266" s="20" t="s">
        <v>93</v>
      </c>
      <c r="G266" s="20" t="s">
        <v>118</v>
      </c>
      <c r="H266" s="20" t="s">
        <v>97</v>
      </c>
      <c r="I266" s="20" t="s">
        <v>97</v>
      </c>
      <c r="J266" s="22" t="n">
        <v>0</v>
      </c>
      <c r="K266" s="29" t="n">
        <v>-10</v>
      </c>
      <c r="L266" s="18" t="s">
        <v>792</v>
      </c>
      <c r="M266" s="30"/>
      <c r="N266" s="25" t="str">
        <f aca="false">IF(AND(ISNUMBER(J266),ISNUMBER(K266),ISNUMBER(M266),K266&lt;&gt;J266),MAX(0,MIN(1,(M266-J266)/(K266-J266))),"")</f>
        <v/>
      </c>
      <c r="O266" s="26"/>
      <c r="P266" s="6"/>
      <c r="Q266" s="6"/>
    </row>
    <row r="267" customFormat="false" ht="15" hidden="false" customHeight="false" outlineLevel="0" collapsed="false">
      <c r="A267" s="6" t="s">
        <v>1206</v>
      </c>
      <c r="B267" s="18" t="s">
        <v>1179</v>
      </c>
      <c r="C267" s="6" t="s">
        <v>1207</v>
      </c>
      <c r="E267" s="19" t="s">
        <v>97</v>
      </c>
      <c r="F267" s="20" t="s">
        <v>93</v>
      </c>
      <c r="G267" s="20" t="s">
        <v>74</v>
      </c>
      <c r="H267" s="20" t="s">
        <v>97</v>
      </c>
      <c r="I267" s="20" t="s">
        <v>97</v>
      </c>
      <c r="J267" s="22" t="n">
        <v>0</v>
      </c>
      <c r="K267" s="29" t="n">
        <v>100</v>
      </c>
      <c r="L267" s="18" t="s">
        <v>98</v>
      </c>
      <c r="M267" s="30"/>
      <c r="N267" s="25" t="str">
        <f aca="false">IF(AND(ISNUMBER(J267),ISNUMBER(K267),ISNUMBER(M267),K267&lt;&gt;J267),MAX(0,MIN(1,(M267-J267)/(K267-J267))),"")</f>
        <v/>
      </c>
      <c r="O267" s="26"/>
      <c r="P267" s="6"/>
      <c r="Q267" s="6"/>
    </row>
    <row r="268" customFormat="false" ht="24" hidden="false" customHeight="true" outlineLevel="0" collapsed="false">
      <c r="A268" s="35" t="s">
        <v>1208</v>
      </c>
      <c r="B268" s="34"/>
      <c r="C268" s="34"/>
      <c r="D268" s="34"/>
      <c r="E268" s="34"/>
      <c r="F268" s="34"/>
      <c r="G268" s="34"/>
      <c r="H268" s="34"/>
      <c r="I268" s="34"/>
      <c r="J268" s="34"/>
      <c r="K268" s="34"/>
      <c r="L268" s="34"/>
      <c r="M268" s="34"/>
      <c r="N268" s="34"/>
      <c r="O268" s="34"/>
      <c r="P268" s="34"/>
      <c r="Q268" s="34"/>
    </row>
    <row r="269" customFormat="false" ht="105.75" hidden="false" customHeight="true" outlineLevel="0" collapsed="false">
      <c r="A269" s="12" t="s">
        <v>1209</v>
      </c>
      <c r="B269" s="12" t="s">
        <v>1210</v>
      </c>
      <c r="C269" s="13" t="s">
        <v>1211</v>
      </c>
      <c r="D269" s="14" t="s">
        <v>1116</v>
      </c>
      <c r="E269" s="15"/>
      <c r="F269" s="15"/>
      <c r="G269" s="15"/>
      <c r="H269" s="15"/>
      <c r="I269" s="15"/>
      <c r="J269" s="15"/>
      <c r="K269" s="15"/>
      <c r="L269" s="15"/>
      <c r="M269" s="16" t="s">
        <v>66</v>
      </c>
      <c r="N269" s="17" t="str">
        <f aca="false">IFERROR(AVERAGE(N270:N272),"")</f>
        <v/>
      </c>
      <c r="O269" s="14"/>
      <c r="P269" s="14" t="s">
        <v>1212</v>
      </c>
      <c r="Q269" s="14" t="s">
        <v>1213</v>
      </c>
    </row>
    <row r="270" customFormat="false" ht="22.35" hidden="false" customHeight="false" outlineLevel="0" collapsed="false">
      <c r="A270" s="6" t="s">
        <v>1214</v>
      </c>
      <c r="B270" s="18" t="s">
        <v>1210</v>
      </c>
      <c r="C270" s="6" t="s">
        <v>1215</v>
      </c>
      <c r="E270" s="19" t="s">
        <v>1216</v>
      </c>
      <c r="F270" s="20" t="s">
        <v>73</v>
      </c>
      <c r="G270" s="20" t="s">
        <v>74</v>
      </c>
      <c r="H270" s="20" t="s">
        <v>97</v>
      </c>
      <c r="I270" s="22" t="n">
        <v>0</v>
      </c>
      <c r="J270" s="22" t="n">
        <v>0</v>
      </c>
      <c r="K270" s="36" t="s">
        <v>1097</v>
      </c>
      <c r="L270" s="18" t="s">
        <v>1098</v>
      </c>
      <c r="M270" s="27" t="n">
        <v>0</v>
      </c>
      <c r="N270" s="25" t="str">
        <f aca="false">IF(AND(ISNUMBER(J270),ISNUMBER(K270),ISNUMBER(M270),K270&lt;&gt;J270),MAX(0,MIN(1,(M270-J270)/(K270-J270))),"")</f>
        <v/>
      </c>
      <c r="O270" s="31" t="s">
        <v>1099</v>
      </c>
      <c r="P270" s="6"/>
      <c r="Q270" s="6"/>
    </row>
    <row r="271" customFormat="false" ht="22.35" hidden="false" customHeight="false" outlineLevel="0" collapsed="false">
      <c r="A271" s="6" t="s">
        <v>1217</v>
      </c>
      <c r="B271" s="18" t="s">
        <v>1210</v>
      </c>
      <c r="C271" s="6" t="s">
        <v>1218</v>
      </c>
      <c r="E271" s="19" t="s">
        <v>97</v>
      </c>
      <c r="F271" s="20" t="s">
        <v>79</v>
      </c>
      <c r="G271" s="20" t="s">
        <v>74</v>
      </c>
      <c r="H271" s="20" t="s">
        <v>97</v>
      </c>
      <c r="I271" s="20" t="s">
        <v>97</v>
      </c>
      <c r="J271" s="22" t="n">
        <v>0</v>
      </c>
      <c r="K271" s="29" t="n">
        <v>2</v>
      </c>
      <c r="L271" s="18" t="s">
        <v>98</v>
      </c>
      <c r="M271" s="30"/>
      <c r="N271" s="25" t="str">
        <f aca="false">IF(AND(ISNUMBER(J271),ISNUMBER(K271),ISNUMBER(M271),K271&lt;&gt;J271),MAX(0,MIN(1,(M271-J271)/(K271-J271))),"")</f>
        <v/>
      </c>
      <c r="O271" s="26"/>
      <c r="P271" s="6"/>
      <c r="Q271" s="6"/>
    </row>
    <row r="272" customFormat="false" ht="22.35" hidden="false" customHeight="false" outlineLevel="0" collapsed="false">
      <c r="A272" s="6" t="s">
        <v>1219</v>
      </c>
      <c r="B272" s="18" t="s">
        <v>1210</v>
      </c>
      <c r="C272" s="6" t="s">
        <v>1110</v>
      </c>
      <c r="E272" s="19" t="s">
        <v>97</v>
      </c>
      <c r="F272" s="20" t="s">
        <v>93</v>
      </c>
      <c r="G272" s="20" t="s">
        <v>74</v>
      </c>
      <c r="H272" s="20" t="s">
        <v>97</v>
      </c>
      <c r="I272" s="20" t="s">
        <v>97</v>
      </c>
      <c r="J272" s="22" t="n">
        <v>0</v>
      </c>
      <c r="K272" s="29" t="n">
        <v>95</v>
      </c>
      <c r="L272" s="18" t="s">
        <v>98</v>
      </c>
      <c r="M272" s="30"/>
      <c r="N272" s="25" t="str">
        <f aca="false">IF(AND(ISNUMBER(J272),ISNUMBER(K272),ISNUMBER(M272),K272&lt;&gt;J272),MAX(0,MIN(1,(M272-J272)/(K272-J272))),"")</f>
        <v/>
      </c>
      <c r="O272" s="31" t="s">
        <v>1111</v>
      </c>
      <c r="P272" s="6"/>
      <c r="Q272" s="6"/>
    </row>
    <row r="273" customFormat="false" ht="45" hidden="false" customHeight="true" outlineLevel="0" collapsed="false">
      <c r="A273" s="12" t="s">
        <v>1220</v>
      </c>
      <c r="B273" s="12" t="s">
        <v>1210</v>
      </c>
      <c r="C273" s="13" t="s">
        <v>1221</v>
      </c>
      <c r="D273" s="14" t="s">
        <v>1124</v>
      </c>
      <c r="E273" s="15"/>
      <c r="F273" s="15"/>
      <c r="G273" s="15"/>
      <c r="H273" s="15"/>
      <c r="I273" s="15"/>
      <c r="J273" s="15"/>
      <c r="K273" s="15"/>
      <c r="L273" s="15"/>
      <c r="M273" s="16" t="s">
        <v>66</v>
      </c>
      <c r="N273" s="17" t="str">
        <f aca="false">IFERROR(AVERAGE(N274:N276),"")</f>
        <v/>
      </c>
      <c r="O273" s="14"/>
      <c r="P273" s="14" t="s">
        <v>1222</v>
      </c>
      <c r="Q273" s="14"/>
    </row>
    <row r="274" customFormat="false" ht="22.35" hidden="false" customHeight="false" outlineLevel="0" collapsed="false">
      <c r="A274" s="6" t="s">
        <v>1223</v>
      </c>
      <c r="B274" s="18" t="s">
        <v>1210</v>
      </c>
      <c r="C274" s="6" t="s">
        <v>1224</v>
      </c>
      <c r="E274" s="19" t="s">
        <v>1225</v>
      </c>
      <c r="F274" s="20" t="s">
        <v>73</v>
      </c>
      <c r="G274" s="20" t="s">
        <v>74</v>
      </c>
      <c r="H274" s="20" t="s">
        <v>97</v>
      </c>
      <c r="I274" s="22" t="n">
        <v>0</v>
      </c>
      <c r="J274" s="22" t="n">
        <v>0</v>
      </c>
      <c r="K274" s="36" t="s">
        <v>1097</v>
      </c>
      <c r="L274" s="18" t="s">
        <v>1098</v>
      </c>
      <c r="M274" s="27" t="n">
        <v>0</v>
      </c>
      <c r="N274" s="25" t="str">
        <f aca="false">IF(AND(ISNUMBER(J274),ISNUMBER(K274),ISNUMBER(M274),K274&lt;&gt;J274),MAX(0,MIN(1,(M274-J274)/(K274-J274))),"")</f>
        <v/>
      </c>
      <c r="O274" s="31" t="s">
        <v>1099</v>
      </c>
      <c r="P274" s="6"/>
      <c r="Q274" s="6"/>
    </row>
    <row r="275" customFormat="false" ht="22.35" hidden="false" customHeight="false" outlineLevel="0" collapsed="false">
      <c r="A275" s="6" t="s">
        <v>1226</v>
      </c>
      <c r="B275" s="18" t="s">
        <v>1210</v>
      </c>
      <c r="C275" s="6" t="s">
        <v>1165</v>
      </c>
      <c r="E275" s="19" t="s">
        <v>97</v>
      </c>
      <c r="F275" s="20" t="s">
        <v>93</v>
      </c>
      <c r="G275" s="20" t="s">
        <v>74</v>
      </c>
      <c r="H275" s="20" t="s">
        <v>97</v>
      </c>
      <c r="I275" s="20" t="s">
        <v>97</v>
      </c>
      <c r="J275" s="22" t="n">
        <v>0</v>
      </c>
      <c r="K275" s="29" t="n">
        <v>100</v>
      </c>
      <c r="L275" s="18" t="s">
        <v>98</v>
      </c>
      <c r="M275" s="30"/>
      <c r="N275" s="25" t="str">
        <f aca="false">IF(AND(ISNUMBER(J275),ISNUMBER(K275),ISNUMBER(M275),K275&lt;&gt;J275),MAX(0,MIN(1,(M275-J275)/(K275-J275))),"")</f>
        <v/>
      </c>
      <c r="O275" s="26"/>
      <c r="P275" s="6"/>
      <c r="Q275" s="6"/>
    </row>
    <row r="276" customFormat="false" ht="22.35" hidden="false" customHeight="false" outlineLevel="0" collapsed="false">
      <c r="A276" s="6" t="s">
        <v>1227</v>
      </c>
      <c r="B276" s="18" t="s">
        <v>1210</v>
      </c>
      <c r="C276" s="6" t="s">
        <v>1110</v>
      </c>
      <c r="E276" s="19" t="s">
        <v>97</v>
      </c>
      <c r="F276" s="20" t="s">
        <v>93</v>
      </c>
      <c r="G276" s="20" t="s">
        <v>74</v>
      </c>
      <c r="H276" s="20" t="s">
        <v>97</v>
      </c>
      <c r="I276" s="20" t="s">
        <v>97</v>
      </c>
      <c r="J276" s="22" t="n">
        <v>0</v>
      </c>
      <c r="K276" s="29" t="n">
        <v>95</v>
      </c>
      <c r="L276" s="18" t="s">
        <v>98</v>
      </c>
      <c r="M276" s="30"/>
      <c r="N276" s="25" t="str">
        <f aca="false">IF(AND(ISNUMBER(J276),ISNUMBER(K276),ISNUMBER(M276),K276&lt;&gt;J276),MAX(0,MIN(1,(M276-J276)/(K276-J276))),"")</f>
        <v/>
      </c>
      <c r="O276" s="31" t="s">
        <v>1111</v>
      </c>
      <c r="P276" s="6"/>
      <c r="Q276" s="6"/>
    </row>
    <row r="277" customFormat="false" ht="156" hidden="false" customHeight="true" outlineLevel="0" collapsed="false">
      <c r="A277" s="12" t="s">
        <v>1228</v>
      </c>
      <c r="B277" s="12" t="s">
        <v>1210</v>
      </c>
      <c r="C277" s="13" t="s">
        <v>1229</v>
      </c>
      <c r="D277" s="14" t="s">
        <v>1124</v>
      </c>
      <c r="E277" s="15"/>
      <c r="F277" s="15"/>
      <c r="G277" s="15"/>
      <c r="H277" s="15"/>
      <c r="I277" s="15"/>
      <c r="J277" s="15"/>
      <c r="K277" s="15"/>
      <c r="L277" s="15"/>
      <c r="M277" s="16" t="s">
        <v>66</v>
      </c>
      <c r="N277" s="17" t="str">
        <f aca="false">IFERROR(AVERAGE(N278:N280),"")</f>
        <v/>
      </c>
      <c r="O277" s="14"/>
      <c r="P277" s="14" t="s">
        <v>1230</v>
      </c>
      <c r="Q277" s="14" t="s">
        <v>1231</v>
      </c>
    </row>
    <row r="278" customFormat="false" ht="22.35" hidden="false" customHeight="false" outlineLevel="0" collapsed="false">
      <c r="A278" s="6" t="s">
        <v>1232</v>
      </c>
      <c r="B278" s="18" t="s">
        <v>1210</v>
      </c>
      <c r="C278" s="6" t="s">
        <v>1233</v>
      </c>
      <c r="E278" s="19" t="s">
        <v>1234</v>
      </c>
      <c r="F278" s="20" t="s">
        <v>73</v>
      </c>
      <c r="G278" s="20" t="s">
        <v>74</v>
      </c>
      <c r="H278" s="20" t="s">
        <v>97</v>
      </c>
      <c r="I278" s="22" t="n">
        <v>0</v>
      </c>
      <c r="J278" s="22" t="n">
        <v>0</v>
      </c>
      <c r="K278" s="36" t="s">
        <v>1097</v>
      </c>
      <c r="L278" s="18" t="s">
        <v>1098</v>
      </c>
      <c r="M278" s="27" t="n">
        <v>0</v>
      </c>
      <c r="N278" s="25" t="str">
        <f aca="false">IF(AND(ISNUMBER(J278),ISNUMBER(K278),ISNUMBER(M278),K278&lt;&gt;J278),MAX(0,MIN(1,(M278-J278)/(K278-J278))),"")</f>
        <v/>
      </c>
      <c r="O278" s="31" t="s">
        <v>1099</v>
      </c>
      <c r="P278" s="6"/>
      <c r="Q278" s="6"/>
    </row>
    <row r="279" customFormat="false" ht="22.35" hidden="false" customHeight="false" outlineLevel="0" collapsed="false">
      <c r="A279" s="6" t="s">
        <v>1235</v>
      </c>
      <c r="B279" s="18" t="s">
        <v>1210</v>
      </c>
      <c r="C279" s="6" t="s">
        <v>1236</v>
      </c>
      <c r="E279" s="19" t="s">
        <v>97</v>
      </c>
      <c r="F279" s="20" t="s">
        <v>93</v>
      </c>
      <c r="G279" s="20" t="s">
        <v>74</v>
      </c>
      <c r="H279" s="20" t="s">
        <v>97</v>
      </c>
      <c r="I279" s="20" t="s">
        <v>97</v>
      </c>
      <c r="J279" s="22" t="n">
        <v>0</v>
      </c>
      <c r="K279" s="29" t="n">
        <v>90</v>
      </c>
      <c r="L279" s="18" t="s">
        <v>98</v>
      </c>
      <c r="M279" s="30"/>
      <c r="N279" s="25" t="str">
        <f aca="false">IF(AND(ISNUMBER(J279),ISNUMBER(K279),ISNUMBER(M279),K279&lt;&gt;J279),MAX(0,MIN(1,(M279-J279)/(K279-J279))),"")</f>
        <v/>
      </c>
      <c r="O279" s="26"/>
      <c r="P279" s="6"/>
      <c r="Q279" s="6"/>
    </row>
    <row r="280" customFormat="false" ht="22.35" hidden="false" customHeight="false" outlineLevel="0" collapsed="false">
      <c r="A280" s="6" t="s">
        <v>1237</v>
      </c>
      <c r="B280" s="18" t="s">
        <v>1210</v>
      </c>
      <c r="C280" s="6" t="s">
        <v>1110</v>
      </c>
      <c r="E280" s="19" t="s">
        <v>97</v>
      </c>
      <c r="F280" s="20" t="s">
        <v>93</v>
      </c>
      <c r="G280" s="20" t="s">
        <v>74</v>
      </c>
      <c r="H280" s="20" t="s">
        <v>97</v>
      </c>
      <c r="I280" s="20" t="s">
        <v>97</v>
      </c>
      <c r="J280" s="22" t="n">
        <v>0</v>
      </c>
      <c r="K280" s="29" t="n">
        <v>95</v>
      </c>
      <c r="L280" s="18" t="s">
        <v>98</v>
      </c>
      <c r="M280" s="30"/>
      <c r="N280" s="25" t="str">
        <f aca="false">IF(AND(ISNUMBER(J280),ISNUMBER(K280),ISNUMBER(M280),K280&lt;&gt;J280),MAX(0,MIN(1,(M280-J280)/(K280-J280))),"")</f>
        <v/>
      </c>
      <c r="O280" s="31" t="s">
        <v>1111</v>
      </c>
      <c r="P280" s="6"/>
      <c r="Q280" s="6"/>
    </row>
    <row r="281" customFormat="false" ht="24" hidden="false" customHeight="true" outlineLevel="0" collapsed="false">
      <c r="A281" s="35" t="s">
        <v>1238</v>
      </c>
      <c r="B281" s="34"/>
      <c r="C281" s="34"/>
      <c r="D281" s="34"/>
      <c r="E281" s="34"/>
      <c r="F281" s="34"/>
      <c r="G281" s="34"/>
      <c r="H281" s="34"/>
      <c r="I281" s="34"/>
      <c r="J281" s="34"/>
      <c r="K281" s="34"/>
      <c r="L281" s="34"/>
      <c r="M281" s="34"/>
      <c r="N281" s="34"/>
      <c r="O281" s="34"/>
      <c r="P281" s="34"/>
      <c r="Q281" s="34"/>
    </row>
    <row r="282" customFormat="false" ht="55.5" hidden="false" customHeight="true" outlineLevel="0" collapsed="false">
      <c r="A282" s="12" t="s">
        <v>1239</v>
      </c>
      <c r="B282" s="12" t="s">
        <v>1240</v>
      </c>
      <c r="C282" s="13" t="s">
        <v>1241</v>
      </c>
      <c r="D282" s="14" t="s">
        <v>1116</v>
      </c>
      <c r="E282" s="15"/>
      <c r="F282" s="15"/>
      <c r="G282" s="15"/>
      <c r="H282" s="15"/>
      <c r="I282" s="15"/>
      <c r="J282" s="15"/>
      <c r="K282" s="15"/>
      <c r="L282" s="15"/>
      <c r="M282" s="16" t="s">
        <v>66</v>
      </c>
      <c r="N282" s="17" t="str">
        <f aca="false">IFERROR(AVERAGE(N283:N286),"")</f>
        <v/>
      </c>
      <c r="O282" s="14"/>
      <c r="P282" s="14" t="s">
        <v>1242</v>
      </c>
      <c r="Q282" s="14" t="s">
        <v>1243</v>
      </c>
    </row>
    <row r="283" customFormat="false" ht="22.35" hidden="false" customHeight="false" outlineLevel="0" collapsed="false">
      <c r="A283" s="6" t="s">
        <v>1244</v>
      </c>
      <c r="B283" s="18" t="s">
        <v>1240</v>
      </c>
      <c r="C283" s="6" t="s">
        <v>1245</v>
      </c>
      <c r="E283" s="19" t="s">
        <v>1246</v>
      </c>
      <c r="F283" s="20" t="s">
        <v>73</v>
      </c>
      <c r="G283" s="20" t="s">
        <v>74</v>
      </c>
      <c r="H283" s="20" t="s">
        <v>97</v>
      </c>
      <c r="I283" s="22" t="n">
        <v>0</v>
      </c>
      <c r="J283" s="22" t="n">
        <v>0</v>
      </c>
      <c r="K283" s="36" t="s">
        <v>1097</v>
      </c>
      <c r="L283" s="18" t="s">
        <v>1098</v>
      </c>
      <c r="M283" s="27" t="n">
        <v>0</v>
      </c>
      <c r="N283" s="25" t="str">
        <f aca="false">IF(AND(ISNUMBER(J283),ISNUMBER(K283),ISNUMBER(M283),K283&lt;&gt;J283),MAX(0,MIN(1,(M283-J283)/(K283-J283))),"")</f>
        <v/>
      </c>
      <c r="O283" s="31" t="s">
        <v>1099</v>
      </c>
      <c r="P283" s="6"/>
      <c r="Q283" s="6"/>
    </row>
    <row r="284" customFormat="false" ht="22.35" hidden="false" customHeight="false" outlineLevel="0" collapsed="false">
      <c r="A284" s="6" t="s">
        <v>1247</v>
      </c>
      <c r="B284" s="18" t="s">
        <v>1240</v>
      </c>
      <c r="C284" s="6" t="s">
        <v>1248</v>
      </c>
      <c r="E284" s="19" t="s">
        <v>1249</v>
      </c>
      <c r="F284" s="20" t="s">
        <v>73</v>
      </c>
      <c r="G284" s="20" t="s">
        <v>74</v>
      </c>
      <c r="H284" s="20" t="s">
        <v>97</v>
      </c>
      <c r="I284" s="22" t="n">
        <v>0</v>
      </c>
      <c r="J284" s="22" t="n">
        <v>0</v>
      </c>
      <c r="K284" s="36" t="s">
        <v>1097</v>
      </c>
      <c r="L284" s="18" t="s">
        <v>1098</v>
      </c>
      <c r="M284" s="27" t="n">
        <v>0</v>
      </c>
      <c r="N284" s="25" t="str">
        <f aca="false">IF(AND(ISNUMBER(J284),ISNUMBER(K284),ISNUMBER(M284),K284&lt;&gt;J284),MAX(0,MIN(1,(M284-J284)/(K284-J284))),"")</f>
        <v/>
      </c>
      <c r="O284" s="31" t="s">
        <v>1099</v>
      </c>
      <c r="P284" s="6"/>
      <c r="Q284" s="6"/>
    </row>
    <row r="285" customFormat="false" ht="22.35" hidden="false" customHeight="false" outlineLevel="0" collapsed="false">
      <c r="A285" s="6" t="s">
        <v>1250</v>
      </c>
      <c r="B285" s="18" t="s">
        <v>1240</v>
      </c>
      <c r="C285" s="6" t="s">
        <v>1251</v>
      </c>
      <c r="E285" s="19" t="s">
        <v>97</v>
      </c>
      <c r="F285" s="20" t="s">
        <v>79</v>
      </c>
      <c r="G285" s="20" t="s">
        <v>74</v>
      </c>
      <c r="H285" s="20" t="s">
        <v>97</v>
      </c>
      <c r="I285" s="20" t="s">
        <v>97</v>
      </c>
      <c r="J285" s="22" t="n">
        <v>0</v>
      </c>
      <c r="K285" s="29" t="n">
        <v>3</v>
      </c>
      <c r="L285" s="18" t="s">
        <v>98</v>
      </c>
      <c r="M285" s="30"/>
      <c r="N285" s="25" t="str">
        <f aca="false">IF(AND(ISNUMBER(J285),ISNUMBER(K285),ISNUMBER(M285),K285&lt;&gt;J285),MAX(0,MIN(1,(M285-J285)/(K285-J285))),"")</f>
        <v/>
      </c>
      <c r="O285" s="26"/>
      <c r="P285" s="6"/>
      <c r="Q285" s="6"/>
    </row>
    <row r="286" customFormat="false" ht="22.35" hidden="false" customHeight="false" outlineLevel="0" collapsed="false">
      <c r="A286" s="6" t="s">
        <v>1252</v>
      </c>
      <c r="B286" s="18" t="s">
        <v>1240</v>
      </c>
      <c r="C286" s="6" t="s">
        <v>1110</v>
      </c>
      <c r="E286" s="19" t="s">
        <v>97</v>
      </c>
      <c r="F286" s="20" t="s">
        <v>93</v>
      </c>
      <c r="G286" s="20" t="s">
        <v>74</v>
      </c>
      <c r="H286" s="20" t="s">
        <v>97</v>
      </c>
      <c r="I286" s="20" t="s">
        <v>97</v>
      </c>
      <c r="J286" s="22" t="n">
        <v>0</v>
      </c>
      <c r="K286" s="29" t="n">
        <v>95</v>
      </c>
      <c r="L286" s="18" t="s">
        <v>98</v>
      </c>
      <c r="M286" s="30"/>
      <c r="N286" s="25" t="str">
        <f aca="false">IF(AND(ISNUMBER(J286),ISNUMBER(K286),ISNUMBER(M286),K286&lt;&gt;J286),MAX(0,MIN(1,(M286-J286)/(K286-J286))),"")</f>
        <v/>
      </c>
      <c r="O286" s="31" t="s">
        <v>1111</v>
      </c>
      <c r="P286" s="6"/>
      <c r="Q286" s="6"/>
    </row>
    <row r="287" customFormat="false" ht="55.5" hidden="false" customHeight="true" outlineLevel="0" collapsed="false">
      <c r="A287" s="12" t="s">
        <v>1253</v>
      </c>
      <c r="B287" s="12" t="s">
        <v>1240</v>
      </c>
      <c r="C287" s="13" t="s">
        <v>1254</v>
      </c>
      <c r="D287" s="14" t="s">
        <v>1124</v>
      </c>
      <c r="E287" s="15"/>
      <c r="F287" s="15"/>
      <c r="G287" s="15"/>
      <c r="H287" s="15"/>
      <c r="I287" s="15"/>
      <c r="J287" s="15"/>
      <c r="K287" s="15"/>
      <c r="L287" s="15"/>
      <c r="M287" s="16" t="s">
        <v>66</v>
      </c>
      <c r="N287" s="17" t="str">
        <f aca="false">IFERROR(AVERAGE(N288:N290),"")</f>
        <v/>
      </c>
      <c r="O287" s="14"/>
      <c r="P287" s="14" t="s">
        <v>1255</v>
      </c>
      <c r="Q287" s="14"/>
    </row>
    <row r="288" customFormat="false" ht="22.35" hidden="false" customHeight="false" outlineLevel="0" collapsed="false">
      <c r="A288" s="6" t="s">
        <v>1256</v>
      </c>
      <c r="B288" s="18" t="s">
        <v>1240</v>
      </c>
      <c r="C288" s="6" t="s">
        <v>1257</v>
      </c>
      <c r="E288" s="19" t="s">
        <v>1258</v>
      </c>
      <c r="F288" s="20" t="s">
        <v>73</v>
      </c>
      <c r="G288" s="20" t="s">
        <v>74</v>
      </c>
      <c r="H288" s="20" t="s">
        <v>97</v>
      </c>
      <c r="I288" s="22" t="n">
        <v>0</v>
      </c>
      <c r="J288" s="22" t="n">
        <v>0</v>
      </c>
      <c r="K288" s="36" t="s">
        <v>1097</v>
      </c>
      <c r="L288" s="18" t="s">
        <v>1098</v>
      </c>
      <c r="M288" s="27" t="n">
        <v>0</v>
      </c>
      <c r="N288" s="25" t="str">
        <f aca="false">IF(AND(ISNUMBER(J288),ISNUMBER(K288),ISNUMBER(M288),K288&lt;&gt;J288),MAX(0,MIN(1,(M288-J288)/(K288-J288))),"")</f>
        <v/>
      </c>
      <c r="O288" s="31" t="s">
        <v>1099</v>
      </c>
      <c r="P288" s="6"/>
      <c r="Q288" s="6"/>
    </row>
    <row r="289" customFormat="false" ht="22.35" hidden="false" customHeight="false" outlineLevel="0" collapsed="false">
      <c r="A289" s="6" t="s">
        <v>1259</v>
      </c>
      <c r="B289" s="18" t="s">
        <v>1240</v>
      </c>
      <c r="C289" s="6" t="s">
        <v>1260</v>
      </c>
      <c r="E289" s="19" t="s">
        <v>1261</v>
      </c>
      <c r="F289" s="20" t="s">
        <v>73</v>
      </c>
      <c r="G289" s="20" t="s">
        <v>74</v>
      </c>
      <c r="H289" s="20" t="s">
        <v>97</v>
      </c>
      <c r="I289" s="22" t="n">
        <v>0</v>
      </c>
      <c r="J289" s="22" t="n">
        <v>0</v>
      </c>
      <c r="K289" s="36" t="s">
        <v>1097</v>
      </c>
      <c r="L289" s="18" t="s">
        <v>1098</v>
      </c>
      <c r="M289" s="27" t="n">
        <v>0</v>
      </c>
      <c r="N289" s="25" t="str">
        <f aca="false">IF(AND(ISNUMBER(J289),ISNUMBER(K289),ISNUMBER(M289),K289&lt;&gt;J289),MAX(0,MIN(1,(M289-J289)/(K289-J289))),"")</f>
        <v/>
      </c>
      <c r="O289" s="31" t="s">
        <v>1099</v>
      </c>
      <c r="P289" s="6"/>
      <c r="Q289" s="6"/>
    </row>
    <row r="290" customFormat="false" ht="22.35" hidden="false" customHeight="false" outlineLevel="0" collapsed="false">
      <c r="A290" s="6" t="s">
        <v>1262</v>
      </c>
      <c r="B290" s="18" t="s">
        <v>1240</v>
      </c>
      <c r="C290" s="6" t="s">
        <v>1110</v>
      </c>
      <c r="E290" s="19" t="s">
        <v>97</v>
      </c>
      <c r="F290" s="20" t="s">
        <v>93</v>
      </c>
      <c r="G290" s="20" t="s">
        <v>74</v>
      </c>
      <c r="H290" s="20" t="s">
        <v>97</v>
      </c>
      <c r="I290" s="20" t="s">
        <v>97</v>
      </c>
      <c r="J290" s="22" t="n">
        <v>0</v>
      </c>
      <c r="K290" s="29" t="n">
        <v>95</v>
      </c>
      <c r="L290" s="18" t="s">
        <v>98</v>
      </c>
      <c r="M290" s="30"/>
      <c r="N290" s="25" t="str">
        <f aca="false">IF(AND(ISNUMBER(J290),ISNUMBER(K290),ISNUMBER(M290),K290&lt;&gt;J290),MAX(0,MIN(1,(M290-J290)/(K290-J290))),"")</f>
        <v/>
      </c>
      <c r="O290" s="31" t="s">
        <v>1111</v>
      </c>
      <c r="P290" s="6"/>
      <c r="Q290" s="6"/>
    </row>
    <row r="291" customFormat="false" ht="68.25" hidden="false" customHeight="true" outlineLevel="0" collapsed="false">
      <c r="A291" s="12" t="s">
        <v>1263</v>
      </c>
      <c r="B291" s="12" t="s">
        <v>1240</v>
      </c>
      <c r="C291" s="13" t="s">
        <v>1264</v>
      </c>
      <c r="D291" s="14" t="s">
        <v>1124</v>
      </c>
      <c r="E291" s="15"/>
      <c r="F291" s="15"/>
      <c r="G291" s="15"/>
      <c r="H291" s="15"/>
      <c r="I291" s="15"/>
      <c r="J291" s="15"/>
      <c r="K291" s="15"/>
      <c r="L291" s="15"/>
      <c r="M291" s="16" t="s">
        <v>66</v>
      </c>
      <c r="N291" s="17" t="str">
        <f aca="false">IFERROR(AVERAGE(N292:N294),"")</f>
        <v/>
      </c>
      <c r="O291" s="14"/>
      <c r="P291" s="14" t="s">
        <v>1265</v>
      </c>
      <c r="Q291" s="14"/>
    </row>
    <row r="292" customFormat="false" ht="22.35" hidden="false" customHeight="false" outlineLevel="0" collapsed="false">
      <c r="A292" s="6" t="s">
        <v>1266</v>
      </c>
      <c r="B292" s="18" t="s">
        <v>1240</v>
      </c>
      <c r="C292" s="6" t="s">
        <v>1267</v>
      </c>
      <c r="E292" s="19" t="s">
        <v>1268</v>
      </c>
      <c r="F292" s="20" t="s">
        <v>73</v>
      </c>
      <c r="G292" s="20" t="s">
        <v>74</v>
      </c>
      <c r="H292" s="20" t="s">
        <v>97</v>
      </c>
      <c r="I292" s="22" t="n">
        <v>0</v>
      </c>
      <c r="J292" s="22" t="n">
        <v>0</v>
      </c>
      <c r="K292" s="36" t="s">
        <v>1097</v>
      </c>
      <c r="L292" s="18" t="s">
        <v>1098</v>
      </c>
      <c r="M292" s="27" t="n">
        <v>0</v>
      </c>
      <c r="N292" s="25" t="str">
        <f aca="false">IF(AND(ISNUMBER(J292),ISNUMBER(K292),ISNUMBER(M292),K292&lt;&gt;J292),MAX(0,MIN(1,(M292-J292)/(K292-J292))),"")</f>
        <v/>
      </c>
      <c r="O292" s="31" t="s">
        <v>1099</v>
      </c>
      <c r="P292" s="6"/>
      <c r="Q292" s="6"/>
    </row>
    <row r="293" customFormat="false" ht="22.35" hidden="false" customHeight="false" outlineLevel="0" collapsed="false">
      <c r="A293" s="6" t="s">
        <v>1269</v>
      </c>
      <c r="B293" s="18" t="s">
        <v>1240</v>
      </c>
      <c r="C293" s="6" t="s">
        <v>1176</v>
      </c>
      <c r="E293" s="19" t="s">
        <v>97</v>
      </c>
      <c r="F293" s="20" t="s">
        <v>93</v>
      </c>
      <c r="G293" s="20" t="s">
        <v>74</v>
      </c>
      <c r="H293" s="20" t="s">
        <v>97</v>
      </c>
      <c r="I293" s="20" t="s">
        <v>97</v>
      </c>
      <c r="J293" s="22" t="n">
        <v>0</v>
      </c>
      <c r="K293" s="29" t="n">
        <v>90</v>
      </c>
      <c r="L293" s="18" t="s">
        <v>98</v>
      </c>
      <c r="M293" s="30"/>
      <c r="N293" s="25" t="str">
        <f aca="false">IF(AND(ISNUMBER(J293),ISNUMBER(K293),ISNUMBER(M293),K293&lt;&gt;J293),MAX(0,MIN(1,(M293-J293)/(K293-J293))),"")</f>
        <v/>
      </c>
      <c r="O293" s="26"/>
      <c r="P293" s="6"/>
      <c r="Q293" s="6"/>
    </row>
    <row r="294" customFormat="false" ht="22.35" hidden="false" customHeight="false" outlineLevel="0" collapsed="false">
      <c r="A294" s="6" t="s">
        <v>1270</v>
      </c>
      <c r="B294" s="18" t="s">
        <v>1240</v>
      </c>
      <c r="C294" s="6" t="s">
        <v>1165</v>
      </c>
      <c r="E294" s="19" t="s">
        <v>97</v>
      </c>
      <c r="F294" s="20" t="s">
        <v>93</v>
      </c>
      <c r="G294" s="20" t="s">
        <v>74</v>
      </c>
      <c r="H294" s="20" t="s">
        <v>97</v>
      </c>
      <c r="I294" s="20" t="s">
        <v>97</v>
      </c>
      <c r="J294" s="22" t="n">
        <v>0</v>
      </c>
      <c r="K294" s="29" t="n">
        <v>100</v>
      </c>
      <c r="L294" s="18" t="s">
        <v>98</v>
      </c>
      <c r="M294" s="30"/>
      <c r="N294" s="25" t="str">
        <f aca="false">IF(AND(ISNUMBER(J294),ISNUMBER(K294),ISNUMBER(M294),K294&lt;&gt;J294),MAX(0,MIN(1,(M294-J294)/(K294-J294))),"")</f>
        <v/>
      </c>
      <c r="O294" s="26"/>
      <c r="P294" s="6"/>
      <c r="Q294" s="6"/>
    </row>
    <row r="295" customFormat="false" ht="24" hidden="false" customHeight="true" outlineLevel="0" collapsed="false">
      <c r="A295" s="35" t="s">
        <v>1271</v>
      </c>
      <c r="B295" s="34"/>
      <c r="C295" s="34"/>
      <c r="D295" s="34"/>
      <c r="E295" s="34"/>
      <c r="F295" s="34"/>
      <c r="G295" s="34"/>
      <c r="H295" s="34"/>
      <c r="I295" s="34"/>
      <c r="J295" s="34"/>
      <c r="K295" s="34"/>
      <c r="L295" s="34"/>
      <c r="M295" s="34"/>
      <c r="N295" s="34"/>
      <c r="O295" s="34"/>
      <c r="P295" s="34"/>
      <c r="Q295" s="34"/>
    </row>
    <row r="296" customFormat="false" ht="143.25" hidden="false" customHeight="true" outlineLevel="0" collapsed="false">
      <c r="A296" s="12" t="s">
        <v>1272</v>
      </c>
      <c r="B296" s="12" t="s">
        <v>1273</v>
      </c>
      <c r="C296" s="13" t="s">
        <v>1274</v>
      </c>
      <c r="D296" s="14" t="s">
        <v>1116</v>
      </c>
      <c r="E296" s="15"/>
      <c r="F296" s="15"/>
      <c r="G296" s="15"/>
      <c r="H296" s="15"/>
      <c r="I296" s="15"/>
      <c r="J296" s="15"/>
      <c r="K296" s="15"/>
      <c r="L296" s="15"/>
      <c r="M296" s="16" t="s">
        <v>66</v>
      </c>
      <c r="N296" s="17" t="n">
        <f aca="false">IFERROR(AVERAGE(N297:N299),"")</f>
        <v>0</v>
      </c>
      <c r="O296" s="14"/>
      <c r="P296" s="14" t="s">
        <v>1275</v>
      </c>
      <c r="Q296" s="14" t="s">
        <v>1276</v>
      </c>
    </row>
    <row r="297" customFormat="false" ht="15" hidden="false" customHeight="false" outlineLevel="0" collapsed="false">
      <c r="A297" s="6" t="s">
        <v>1277</v>
      </c>
      <c r="B297" s="18" t="s">
        <v>1273</v>
      </c>
      <c r="C297" s="6" t="s">
        <v>372</v>
      </c>
      <c r="E297" s="19" t="s">
        <v>373</v>
      </c>
      <c r="F297" s="20" t="s">
        <v>93</v>
      </c>
      <c r="G297" s="20" t="s">
        <v>74</v>
      </c>
      <c r="H297" s="22" t="n">
        <v>84.5</v>
      </c>
      <c r="I297" s="22" t="n">
        <v>83.8</v>
      </c>
      <c r="J297" s="22" t="n">
        <v>83.8</v>
      </c>
      <c r="K297" s="28" t="n">
        <v>90</v>
      </c>
      <c r="L297" s="18" t="s">
        <v>94</v>
      </c>
      <c r="M297" s="27" t="n">
        <v>83.8</v>
      </c>
      <c r="N297" s="25" t="n">
        <f aca="false">IF(AND(ISNUMBER(J297),ISNUMBER(K297),ISNUMBER(M297),K297&lt;&gt;J297),MAX(0,MIN(1,(M297-J297)/(K297-J297))),"")</f>
        <v>0</v>
      </c>
      <c r="O297" s="26"/>
      <c r="P297" s="6"/>
      <c r="Q297" s="6"/>
    </row>
    <row r="298" customFormat="false" ht="15" hidden="false" customHeight="false" outlineLevel="0" collapsed="false">
      <c r="A298" s="6" t="s">
        <v>1278</v>
      </c>
      <c r="B298" s="18" t="s">
        <v>1273</v>
      </c>
      <c r="C298" s="6" t="s">
        <v>1279</v>
      </c>
      <c r="E298" s="19" t="s">
        <v>1280</v>
      </c>
      <c r="F298" s="20" t="s">
        <v>93</v>
      </c>
      <c r="G298" s="20" t="s">
        <v>74</v>
      </c>
      <c r="H298" s="22" t="n">
        <v>85.9</v>
      </c>
      <c r="I298" s="22" t="n">
        <v>84.75</v>
      </c>
      <c r="J298" s="22" t="n">
        <v>84.75</v>
      </c>
      <c r="K298" s="28" t="n">
        <v>90</v>
      </c>
      <c r="L298" s="18" t="s">
        <v>94</v>
      </c>
      <c r="M298" s="27" t="n">
        <v>84.75</v>
      </c>
      <c r="N298" s="25" t="n">
        <f aca="false">IF(AND(ISNUMBER(J298),ISNUMBER(K298),ISNUMBER(M298),K298&lt;&gt;J298),MAX(0,MIN(1,(M298-J298)/(K298-J298))),"")</f>
        <v>0</v>
      </c>
      <c r="O298" s="26"/>
      <c r="P298" s="6"/>
      <c r="Q298" s="6"/>
    </row>
    <row r="299" customFormat="false" ht="15" hidden="false" customHeight="false" outlineLevel="0" collapsed="false">
      <c r="A299" s="6" t="s">
        <v>1281</v>
      </c>
      <c r="B299" s="18" t="s">
        <v>1273</v>
      </c>
      <c r="C299" s="6" t="s">
        <v>1282</v>
      </c>
      <c r="E299" s="19" t="s">
        <v>1283</v>
      </c>
      <c r="F299" s="20" t="s">
        <v>93</v>
      </c>
      <c r="G299" s="20" t="s">
        <v>74</v>
      </c>
      <c r="H299" s="22" t="n">
        <v>66.23</v>
      </c>
      <c r="I299" s="22" t="n">
        <v>73.13</v>
      </c>
      <c r="J299" s="22" t="n">
        <v>73.13</v>
      </c>
      <c r="K299" s="28" t="n">
        <v>83</v>
      </c>
      <c r="L299" s="18" t="s">
        <v>119</v>
      </c>
      <c r="M299" s="27" t="n">
        <v>73.13</v>
      </c>
      <c r="N299" s="25" t="n">
        <f aca="false">IF(AND(ISNUMBER(J299),ISNUMBER(K299),ISNUMBER(M299),K299&lt;&gt;J299),MAX(0,MIN(1,(M299-J299)/(K299-J299))),"")</f>
        <v>0</v>
      </c>
      <c r="O299" s="26"/>
      <c r="P299" s="6"/>
      <c r="Q299" s="6"/>
    </row>
    <row r="300" customFormat="false" ht="45" hidden="false" customHeight="true" outlineLevel="0" collapsed="false">
      <c r="A300" s="12" t="s">
        <v>1284</v>
      </c>
      <c r="B300" s="12" t="s">
        <v>1273</v>
      </c>
      <c r="C300" s="13" t="s">
        <v>1285</v>
      </c>
      <c r="D300" s="14" t="s">
        <v>1116</v>
      </c>
      <c r="E300" s="15"/>
      <c r="F300" s="15"/>
      <c r="G300" s="15"/>
      <c r="H300" s="15"/>
      <c r="I300" s="15"/>
      <c r="J300" s="15"/>
      <c r="K300" s="15"/>
      <c r="L300" s="15"/>
      <c r="M300" s="16" t="s">
        <v>66</v>
      </c>
      <c r="N300" s="17" t="n">
        <f aca="false">IFERROR(AVERAGE(N301:N303),"")</f>
        <v>0</v>
      </c>
      <c r="O300" s="14"/>
      <c r="P300" s="14" t="s">
        <v>1286</v>
      </c>
      <c r="Q300" s="14" t="s">
        <v>1287</v>
      </c>
    </row>
    <row r="301" customFormat="false" ht="15" hidden="false" customHeight="false" outlineLevel="0" collapsed="false">
      <c r="A301" s="6" t="s">
        <v>1288</v>
      </c>
      <c r="B301" s="18" t="s">
        <v>1273</v>
      </c>
      <c r="C301" s="6" t="s">
        <v>159</v>
      </c>
      <c r="E301" s="19" t="s">
        <v>170</v>
      </c>
      <c r="F301" s="20" t="s">
        <v>93</v>
      </c>
      <c r="G301" s="20" t="s">
        <v>74</v>
      </c>
      <c r="H301" s="22" t="n">
        <v>52.61</v>
      </c>
      <c r="I301" s="22" t="n">
        <v>67.59</v>
      </c>
      <c r="J301" s="22" t="n">
        <v>67.59</v>
      </c>
      <c r="K301" s="28" t="n">
        <v>73</v>
      </c>
      <c r="L301" s="18" t="s">
        <v>119</v>
      </c>
      <c r="M301" s="27" t="n">
        <v>67.59</v>
      </c>
      <c r="N301" s="25" t="n">
        <f aca="false">IF(AND(ISNUMBER(J301),ISNUMBER(K301),ISNUMBER(M301),K301&lt;&gt;J301),MAX(0,MIN(1,(M301-J301)/(K301-J301))),"")</f>
        <v>0</v>
      </c>
      <c r="O301" s="26"/>
      <c r="P301" s="6"/>
      <c r="Q301" s="6"/>
    </row>
    <row r="302" customFormat="false" ht="22.35" hidden="false" customHeight="false" outlineLevel="0" collapsed="false">
      <c r="A302" s="6" t="s">
        <v>1289</v>
      </c>
      <c r="B302" s="18" t="s">
        <v>1273</v>
      </c>
      <c r="C302" s="6" t="s">
        <v>369</v>
      </c>
      <c r="E302" s="19" t="s">
        <v>370</v>
      </c>
      <c r="F302" s="20" t="s">
        <v>93</v>
      </c>
      <c r="G302" s="20" t="s">
        <v>74</v>
      </c>
      <c r="H302" s="22" t="n">
        <v>11.69</v>
      </c>
      <c r="I302" s="22" t="n">
        <v>60.1</v>
      </c>
      <c r="J302" s="22" t="n">
        <v>60.1</v>
      </c>
      <c r="K302" s="28" t="n">
        <v>82</v>
      </c>
      <c r="L302" s="18" t="s">
        <v>119</v>
      </c>
      <c r="M302" s="27" t="n">
        <v>60.1</v>
      </c>
      <c r="N302" s="25" t="n">
        <f aca="false">IF(AND(ISNUMBER(J302),ISNUMBER(K302),ISNUMBER(M302),K302&lt;&gt;J302),MAX(0,MIN(1,(M302-J302)/(K302-J302))),"")</f>
        <v>0</v>
      </c>
      <c r="O302" s="31" t="s">
        <v>139</v>
      </c>
      <c r="P302" s="6"/>
      <c r="Q302" s="6"/>
    </row>
    <row r="303" customFormat="false" ht="15" hidden="false" customHeight="false" outlineLevel="0" collapsed="false">
      <c r="A303" s="6" t="s">
        <v>1290</v>
      </c>
      <c r="B303" s="18" t="s">
        <v>1273</v>
      </c>
      <c r="C303" s="6" t="s">
        <v>1291</v>
      </c>
      <c r="E303" s="19" t="s">
        <v>1292</v>
      </c>
      <c r="F303" s="20" t="s">
        <v>93</v>
      </c>
      <c r="G303" s="20" t="s">
        <v>118</v>
      </c>
      <c r="H303" s="22" t="n">
        <v>12.65</v>
      </c>
      <c r="I303" s="22" t="n">
        <v>12.01</v>
      </c>
      <c r="J303" s="22" t="n">
        <v>12.01</v>
      </c>
      <c r="K303" s="28" t="n">
        <v>9</v>
      </c>
      <c r="L303" s="18" t="s">
        <v>119</v>
      </c>
      <c r="M303" s="27" t="n">
        <v>12.01</v>
      </c>
      <c r="N303" s="25" t="n">
        <f aca="false">IF(AND(ISNUMBER(J303),ISNUMBER(K303),ISNUMBER(M303),K303&lt;&gt;J303),MAX(0,MIN(1,(M303-J303)/(K303-J303))),"")</f>
        <v>-0</v>
      </c>
      <c r="O303" s="26"/>
      <c r="P303" s="6"/>
      <c r="Q303" s="6"/>
    </row>
    <row r="304" customFormat="false" ht="55.5" hidden="false" customHeight="true" outlineLevel="0" collapsed="false">
      <c r="A304" s="12" t="s">
        <v>1293</v>
      </c>
      <c r="B304" s="12" t="s">
        <v>1273</v>
      </c>
      <c r="C304" s="13" t="s">
        <v>1294</v>
      </c>
      <c r="D304" s="14" t="s">
        <v>1116</v>
      </c>
      <c r="E304" s="15"/>
      <c r="F304" s="15"/>
      <c r="G304" s="15"/>
      <c r="H304" s="15"/>
      <c r="I304" s="15"/>
      <c r="J304" s="15"/>
      <c r="K304" s="15"/>
      <c r="L304" s="15"/>
      <c r="M304" s="16" t="s">
        <v>66</v>
      </c>
      <c r="N304" s="17" t="n">
        <f aca="false">IFERROR(AVERAGE(N305:N306),"")</f>
        <v>0</v>
      </c>
      <c r="O304" s="14"/>
      <c r="P304" s="14" t="s">
        <v>1295</v>
      </c>
      <c r="Q304" s="14" t="s">
        <v>1296</v>
      </c>
    </row>
    <row r="305" customFormat="false" ht="22.35" hidden="false" customHeight="false" outlineLevel="0" collapsed="false">
      <c r="A305" s="6" t="s">
        <v>1297</v>
      </c>
      <c r="B305" s="18" t="s">
        <v>1273</v>
      </c>
      <c r="C305" s="6" t="s">
        <v>1298</v>
      </c>
      <c r="E305" s="19" t="s">
        <v>1299</v>
      </c>
      <c r="F305" s="20" t="s">
        <v>93</v>
      </c>
      <c r="G305" s="20" t="s">
        <v>118</v>
      </c>
      <c r="H305" s="22" t="n">
        <v>5.25</v>
      </c>
      <c r="I305" s="22" t="n">
        <v>15.96</v>
      </c>
      <c r="J305" s="22" t="n">
        <v>15.96</v>
      </c>
      <c r="K305" s="28" t="n">
        <v>5</v>
      </c>
      <c r="L305" s="18" t="s">
        <v>119</v>
      </c>
      <c r="M305" s="27" t="n">
        <v>15.96</v>
      </c>
      <c r="N305" s="25" t="n">
        <f aca="false">IF(AND(ISNUMBER(J305),ISNUMBER(K305),ISNUMBER(M305),K305&lt;&gt;J305),MAX(0,MIN(1,(M305-J305)/(K305-J305))),"")</f>
        <v>-0</v>
      </c>
      <c r="O305" s="31" t="s">
        <v>139</v>
      </c>
      <c r="P305" s="6"/>
      <c r="Q305" s="6"/>
    </row>
    <row r="306" customFormat="false" ht="15" hidden="false" customHeight="false" outlineLevel="0" collapsed="false">
      <c r="A306" s="6" t="s">
        <v>1300</v>
      </c>
      <c r="B306" s="18" t="s">
        <v>1273</v>
      </c>
      <c r="C306" s="6" t="s">
        <v>1301</v>
      </c>
      <c r="E306" s="19" t="s">
        <v>97</v>
      </c>
      <c r="F306" s="20" t="s">
        <v>93</v>
      </c>
      <c r="G306" s="20" t="s">
        <v>74</v>
      </c>
      <c r="H306" s="20" t="s">
        <v>97</v>
      </c>
      <c r="I306" s="20" t="s">
        <v>97</v>
      </c>
      <c r="J306" s="22" t="n">
        <v>0</v>
      </c>
      <c r="K306" s="29" t="n">
        <v>100</v>
      </c>
      <c r="L306" s="18" t="s">
        <v>98</v>
      </c>
      <c r="M306" s="30"/>
      <c r="N306" s="25" t="str">
        <f aca="false">IF(AND(ISNUMBER(J306),ISNUMBER(K306),ISNUMBER(M306),K306&lt;&gt;J306),MAX(0,MIN(1,(M306-J306)/(K306-J306))),"")</f>
        <v/>
      </c>
      <c r="O306" s="26"/>
      <c r="P306" s="6"/>
      <c r="Q306" s="6"/>
    </row>
    <row r="307" customFormat="false" ht="24" hidden="false" customHeight="true" outlineLevel="0" collapsed="false">
      <c r="A307" s="35" t="s">
        <v>1302</v>
      </c>
      <c r="B307" s="34"/>
      <c r="C307" s="34"/>
      <c r="D307" s="34"/>
      <c r="E307" s="34"/>
      <c r="F307" s="34"/>
      <c r="G307" s="34"/>
      <c r="H307" s="34"/>
      <c r="I307" s="34"/>
      <c r="J307" s="34"/>
      <c r="K307" s="34"/>
      <c r="L307" s="34"/>
      <c r="M307" s="34"/>
      <c r="N307" s="34"/>
      <c r="O307" s="34"/>
      <c r="P307" s="34"/>
      <c r="Q307" s="34"/>
    </row>
    <row r="308" customFormat="false" ht="143.25" hidden="false" customHeight="true" outlineLevel="0" collapsed="false">
      <c r="A308" s="12" t="s">
        <v>1303</v>
      </c>
      <c r="B308" s="12" t="s">
        <v>1304</v>
      </c>
      <c r="C308" s="13" t="s">
        <v>1305</v>
      </c>
      <c r="D308" s="14" t="s">
        <v>1306</v>
      </c>
      <c r="E308" s="15"/>
      <c r="F308" s="15"/>
      <c r="G308" s="15"/>
      <c r="H308" s="15"/>
      <c r="I308" s="15"/>
      <c r="J308" s="15"/>
      <c r="K308" s="15"/>
      <c r="L308" s="15"/>
      <c r="M308" s="16" t="s">
        <v>66</v>
      </c>
      <c r="N308" s="17" t="n">
        <f aca="false">IFERROR(AVERAGE(N309:N311),"")</f>
        <v>0</v>
      </c>
      <c r="O308" s="14"/>
      <c r="P308" s="14" t="s">
        <v>1307</v>
      </c>
      <c r="Q308" s="14" t="s">
        <v>1308</v>
      </c>
    </row>
    <row r="309" customFormat="false" ht="23.85" hidden="false" customHeight="false" outlineLevel="0" collapsed="false">
      <c r="A309" s="6" t="s">
        <v>1309</v>
      </c>
      <c r="B309" s="18" t="s">
        <v>1304</v>
      </c>
      <c r="C309" s="6" t="s">
        <v>410</v>
      </c>
      <c r="E309" s="19" t="s">
        <v>411</v>
      </c>
      <c r="F309" s="20" t="s">
        <v>117</v>
      </c>
      <c r="G309" s="20" t="s">
        <v>118</v>
      </c>
      <c r="H309" s="22" t="n">
        <v>5.35</v>
      </c>
      <c r="I309" s="22" t="n">
        <v>7.59</v>
      </c>
      <c r="J309" s="22" t="n">
        <v>7.59</v>
      </c>
      <c r="K309" s="28" t="n">
        <v>4.2</v>
      </c>
      <c r="L309" s="18" t="s">
        <v>119</v>
      </c>
      <c r="M309" s="27" t="n">
        <v>7.59</v>
      </c>
      <c r="N309" s="25" t="n">
        <f aca="false">IF(AND(ISNUMBER(J309),ISNUMBER(K309),ISNUMBER(M309),K309&lt;&gt;J309),MAX(0,MIN(1,(M309-J309)/(K309-J309))),"")</f>
        <v>-0</v>
      </c>
      <c r="O309" s="26"/>
      <c r="P309" s="6"/>
      <c r="Q309" s="6"/>
    </row>
    <row r="310" customFormat="false" ht="23.85" hidden="false" customHeight="false" outlineLevel="0" collapsed="false">
      <c r="A310" s="6" t="s">
        <v>1310</v>
      </c>
      <c r="B310" s="18" t="s">
        <v>1304</v>
      </c>
      <c r="C310" s="6" t="s">
        <v>413</v>
      </c>
      <c r="E310" s="19" t="s">
        <v>414</v>
      </c>
      <c r="F310" s="20" t="s">
        <v>117</v>
      </c>
      <c r="G310" s="20" t="s">
        <v>118</v>
      </c>
      <c r="H310" s="22" t="n">
        <v>2.86</v>
      </c>
      <c r="I310" s="22" t="n">
        <v>3.46</v>
      </c>
      <c r="J310" s="22" t="n">
        <v>3.46</v>
      </c>
      <c r="K310" s="28" t="n">
        <v>2.2</v>
      </c>
      <c r="L310" s="18" t="s">
        <v>119</v>
      </c>
      <c r="M310" s="27" t="n">
        <v>3.46</v>
      </c>
      <c r="N310" s="25" t="n">
        <f aca="false">IF(AND(ISNUMBER(J310),ISNUMBER(K310),ISNUMBER(M310),K310&lt;&gt;J310),MAX(0,MIN(1,(M310-J310)/(K310-J310))),"")</f>
        <v>-0</v>
      </c>
      <c r="O310" s="26"/>
      <c r="P310" s="6"/>
      <c r="Q310" s="6"/>
    </row>
    <row r="311" customFormat="false" ht="15" hidden="false" customHeight="false" outlineLevel="0" collapsed="false">
      <c r="A311" s="6" t="s">
        <v>1311</v>
      </c>
      <c r="B311" s="18" t="s">
        <v>1304</v>
      </c>
      <c r="C311" s="6" t="s">
        <v>1312</v>
      </c>
      <c r="E311" s="19" t="s">
        <v>97</v>
      </c>
      <c r="F311" s="20" t="s">
        <v>93</v>
      </c>
      <c r="G311" s="20" t="s">
        <v>74</v>
      </c>
      <c r="H311" s="20" t="s">
        <v>97</v>
      </c>
      <c r="I311" s="20" t="s">
        <v>97</v>
      </c>
      <c r="J311" s="22" t="n">
        <v>0</v>
      </c>
      <c r="K311" s="29" t="n">
        <v>95</v>
      </c>
      <c r="L311" s="18" t="s">
        <v>98</v>
      </c>
      <c r="M311" s="30"/>
      <c r="N311" s="25" t="str">
        <f aca="false">IF(AND(ISNUMBER(J311),ISNUMBER(K311),ISNUMBER(M311),K311&lt;&gt;J311),MAX(0,MIN(1,(M311-J311)/(K311-J311))),"")</f>
        <v/>
      </c>
      <c r="O311" s="26"/>
      <c r="P311" s="6"/>
      <c r="Q311" s="6"/>
    </row>
    <row r="312" customFormat="false" ht="81" hidden="false" customHeight="true" outlineLevel="0" collapsed="false">
      <c r="A312" s="12" t="s">
        <v>1313</v>
      </c>
      <c r="B312" s="12" t="s">
        <v>1304</v>
      </c>
      <c r="C312" s="13" t="s">
        <v>1314</v>
      </c>
      <c r="D312" s="14" t="s">
        <v>1306</v>
      </c>
      <c r="E312" s="15"/>
      <c r="F312" s="15"/>
      <c r="G312" s="15"/>
      <c r="H312" s="15"/>
      <c r="I312" s="15"/>
      <c r="J312" s="15"/>
      <c r="K312" s="15"/>
      <c r="L312" s="15"/>
      <c r="M312" s="16" t="s">
        <v>66</v>
      </c>
      <c r="N312" s="17" t="n">
        <f aca="false">IFERROR(AVERAGE(N313:N315),"")</f>
        <v>0</v>
      </c>
      <c r="O312" s="14"/>
      <c r="P312" s="14" t="s">
        <v>1315</v>
      </c>
      <c r="Q312" s="14" t="s">
        <v>1316</v>
      </c>
    </row>
    <row r="313" customFormat="false" ht="15" hidden="false" customHeight="false" outlineLevel="0" collapsed="false">
      <c r="A313" s="6" t="s">
        <v>1317</v>
      </c>
      <c r="B313" s="18" t="s">
        <v>1304</v>
      </c>
      <c r="C313" s="6" t="s">
        <v>419</v>
      </c>
      <c r="E313" s="19" t="s">
        <v>420</v>
      </c>
      <c r="F313" s="20" t="s">
        <v>93</v>
      </c>
      <c r="G313" s="20" t="s">
        <v>118</v>
      </c>
      <c r="H313" s="22" t="n">
        <v>0.82</v>
      </c>
      <c r="I313" s="20" t="s">
        <v>97</v>
      </c>
      <c r="J313" s="22" t="n">
        <v>0.82</v>
      </c>
      <c r="K313" s="29" t="n">
        <v>0.779</v>
      </c>
      <c r="L313" s="18" t="s">
        <v>138</v>
      </c>
      <c r="M313" s="30"/>
      <c r="N313" s="25" t="str">
        <f aca="false">IF(AND(ISNUMBER(J313),ISNUMBER(K313),ISNUMBER(M313),K313&lt;&gt;J313),MAX(0,MIN(1,(M313-J313)/(K313-J313))),"")</f>
        <v/>
      </c>
      <c r="O313" s="26"/>
      <c r="P313" s="6"/>
      <c r="Q313" s="6"/>
    </row>
    <row r="314" customFormat="false" ht="15" hidden="false" customHeight="false" outlineLevel="0" collapsed="false">
      <c r="A314" s="6" t="s">
        <v>1318</v>
      </c>
      <c r="B314" s="18" t="s">
        <v>1304</v>
      </c>
      <c r="C314" s="6" t="s">
        <v>416</v>
      </c>
      <c r="E314" s="19" t="s">
        <v>417</v>
      </c>
      <c r="F314" s="20" t="s">
        <v>117</v>
      </c>
      <c r="G314" s="20" t="s">
        <v>118</v>
      </c>
      <c r="H314" s="22" t="n">
        <v>7.83</v>
      </c>
      <c r="I314" s="22" t="n">
        <v>5</v>
      </c>
      <c r="J314" s="22" t="n">
        <v>5</v>
      </c>
      <c r="K314" s="29" t="n">
        <v>4.75</v>
      </c>
      <c r="L314" s="18" t="s">
        <v>138</v>
      </c>
      <c r="M314" s="27" t="n">
        <v>5</v>
      </c>
      <c r="N314" s="25" t="n">
        <f aca="false">IF(AND(ISNUMBER(J314),ISNUMBER(K314),ISNUMBER(M314),K314&lt;&gt;J314),MAX(0,MIN(1,(M314-J314)/(K314-J314))),"")</f>
        <v>-0</v>
      </c>
      <c r="O314" s="26"/>
      <c r="P314" s="6"/>
      <c r="Q314" s="6"/>
    </row>
    <row r="315" customFormat="false" ht="22.35" hidden="false" customHeight="false" outlineLevel="0" collapsed="false">
      <c r="A315" s="6" t="s">
        <v>1319</v>
      </c>
      <c r="B315" s="18" t="s">
        <v>1304</v>
      </c>
      <c r="C315" s="6" t="s">
        <v>1320</v>
      </c>
      <c r="E315" s="19" t="s">
        <v>97</v>
      </c>
      <c r="F315" s="20" t="s">
        <v>93</v>
      </c>
      <c r="G315" s="20" t="s">
        <v>118</v>
      </c>
      <c r="H315" s="20" t="s">
        <v>97</v>
      </c>
      <c r="I315" s="20" t="s">
        <v>97</v>
      </c>
      <c r="J315" s="22" t="n">
        <v>0</v>
      </c>
      <c r="K315" s="29" t="n">
        <v>-5</v>
      </c>
      <c r="L315" s="18" t="s">
        <v>792</v>
      </c>
      <c r="M315" s="30"/>
      <c r="N315" s="25" t="str">
        <f aca="false">IF(AND(ISNUMBER(J315),ISNUMBER(K315),ISNUMBER(M315),K315&lt;&gt;J315),MAX(0,MIN(1,(M315-J315)/(K315-J315))),"")</f>
        <v/>
      </c>
      <c r="O315" s="26"/>
      <c r="P315" s="6"/>
      <c r="Q315" s="6"/>
    </row>
    <row r="316" customFormat="false" ht="45" hidden="false" customHeight="true" outlineLevel="0" collapsed="false">
      <c r="A316" s="12" t="s">
        <v>1321</v>
      </c>
      <c r="B316" s="12" t="s">
        <v>1304</v>
      </c>
      <c r="C316" s="13" t="s">
        <v>1322</v>
      </c>
      <c r="D316" s="14" t="s">
        <v>1323</v>
      </c>
      <c r="E316" s="15"/>
      <c r="F316" s="15"/>
      <c r="G316" s="15"/>
      <c r="H316" s="15"/>
      <c r="I316" s="15"/>
      <c r="J316" s="15"/>
      <c r="K316" s="15"/>
      <c r="L316" s="15"/>
      <c r="M316" s="16" t="s">
        <v>66</v>
      </c>
      <c r="N316" s="17" t="str">
        <f aca="false">IFERROR(AVERAGE(N317:N318),"")</f>
        <v/>
      </c>
      <c r="O316" s="14"/>
      <c r="P316" s="14" t="s">
        <v>1324</v>
      </c>
      <c r="Q316" s="14" t="s">
        <v>1325</v>
      </c>
    </row>
    <row r="317" customFormat="false" ht="15" hidden="false" customHeight="false" outlineLevel="0" collapsed="false">
      <c r="A317" s="6" t="s">
        <v>1326</v>
      </c>
      <c r="B317" s="18" t="s">
        <v>1304</v>
      </c>
      <c r="C317" s="6" t="s">
        <v>1327</v>
      </c>
      <c r="E317" s="19" t="s">
        <v>97</v>
      </c>
      <c r="F317" s="20" t="s">
        <v>93</v>
      </c>
      <c r="G317" s="20" t="s">
        <v>74</v>
      </c>
      <c r="H317" s="20" t="s">
        <v>97</v>
      </c>
      <c r="I317" s="20" t="s">
        <v>97</v>
      </c>
      <c r="J317" s="22" t="n">
        <v>0</v>
      </c>
      <c r="K317" s="29" t="n">
        <v>98</v>
      </c>
      <c r="L317" s="18" t="s">
        <v>98</v>
      </c>
      <c r="M317" s="30"/>
      <c r="N317" s="25" t="str">
        <f aca="false">IF(AND(ISNUMBER(J317),ISNUMBER(K317),ISNUMBER(M317),K317&lt;&gt;J317),MAX(0,MIN(1,(M317-J317)/(K317-J317))),"")</f>
        <v/>
      </c>
      <c r="O317" s="26"/>
      <c r="P317" s="6"/>
      <c r="Q317" s="6"/>
    </row>
    <row r="318" customFormat="false" ht="15" hidden="false" customHeight="false" outlineLevel="0" collapsed="false">
      <c r="A318" s="6" t="s">
        <v>1328</v>
      </c>
      <c r="B318" s="18" t="s">
        <v>1304</v>
      </c>
      <c r="C318" s="6" t="s">
        <v>1329</v>
      </c>
      <c r="E318" s="19" t="s">
        <v>97</v>
      </c>
      <c r="F318" s="20" t="s">
        <v>93</v>
      </c>
      <c r="G318" s="20" t="s">
        <v>74</v>
      </c>
      <c r="H318" s="20" t="s">
        <v>97</v>
      </c>
      <c r="I318" s="20" t="s">
        <v>97</v>
      </c>
      <c r="J318" s="22" t="n">
        <v>0</v>
      </c>
      <c r="K318" s="29" t="n">
        <v>100</v>
      </c>
      <c r="L318" s="18" t="s">
        <v>98</v>
      </c>
      <c r="M318" s="30"/>
      <c r="N318" s="25" t="str">
        <f aca="false">IF(AND(ISNUMBER(J318),ISNUMBER(K318),ISNUMBER(M318),K318&lt;&gt;J318),MAX(0,MIN(1,(M318-J318)/(K318-J318))),"")</f>
        <v/>
      </c>
      <c r="O318" s="26"/>
      <c r="P318" s="6"/>
      <c r="Q318" s="6"/>
    </row>
    <row r="319" customFormat="false" ht="24" hidden="false" customHeight="true" outlineLevel="0" collapsed="false">
      <c r="A319" s="35" t="s">
        <v>1330</v>
      </c>
      <c r="B319" s="34"/>
      <c r="C319" s="34"/>
      <c r="D319" s="34"/>
      <c r="E319" s="34"/>
      <c r="F319" s="34"/>
      <c r="G319" s="34"/>
      <c r="H319" s="34"/>
      <c r="I319" s="34"/>
      <c r="J319" s="34"/>
      <c r="K319" s="34"/>
      <c r="L319" s="34"/>
      <c r="M319" s="34"/>
      <c r="N319" s="34"/>
      <c r="O319" s="34"/>
      <c r="P319" s="34"/>
      <c r="Q319" s="34"/>
    </row>
    <row r="320" customFormat="false" ht="130.5" hidden="false" customHeight="true" outlineLevel="0" collapsed="false">
      <c r="A320" s="12" t="s">
        <v>1331</v>
      </c>
      <c r="B320" s="12" t="s">
        <v>1332</v>
      </c>
      <c r="C320" s="13" t="s">
        <v>1333</v>
      </c>
      <c r="D320" s="14" t="s">
        <v>1323</v>
      </c>
      <c r="E320" s="15"/>
      <c r="F320" s="15"/>
      <c r="G320" s="15"/>
      <c r="H320" s="15"/>
      <c r="I320" s="15"/>
      <c r="J320" s="15"/>
      <c r="K320" s="15"/>
      <c r="L320" s="15"/>
      <c r="M320" s="16" t="s">
        <v>66</v>
      </c>
      <c r="N320" s="17" t="str">
        <f aca="false">IFERROR(AVERAGE(N321:N322),"")</f>
        <v/>
      </c>
      <c r="O320" s="14"/>
      <c r="P320" s="14" t="s">
        <v>1334</v>
      </c>
      <c r="Q320" s="14" t="s">
        <v>1335</v>
      </c>
    </row>
    <row r="321" customFormat="false" ht="15" hidden="false" customHeight="false" outlineLevel="0" collapsed="false">
      <c r="A321" s="6" t="s">
        <v>1336</v>
      </c>
      <c r="B321" s="18" t="s">
        <v>1332</v>
      </c>
      <c r="C321" s="6" t="s">
        <v>1337</v>
      </c>
      <c r="E321" s="19" t="s">
        <v>97</v>
      </c>
      <c r="F321" s="20" t="s">
        <v>79</v>
      </c>
      <c r="G321" s="20" t="s">
        <v>74</v>
      </c>
      <c r="H321" s="20" t="s">
        <v>97</v>
      </c>
      <c r="I321" s="20" t="s">
        <v>97</v>
      </c>
      <c r="J321" s="22" t="n">
        <v>0</v>
      </c>
      <c r="K321" s="29" t="n">
        <v>1</v>
      </c>
      <c r="L321" s="18" t="s">
        <v>98</v>
      </c>
      <c r="M321" s="30"/>
      <c r="N321" s="25" t="str">
        <f aca="false">IF(AND(ISNUMBER(J321),ISNUMBER(K321),ISNUMBER(M321),K321&lt;&gt;J321),MAX(0,MIN(1,(M321-J321)/(K321-J321))),"")</f>
        <v/>
      </c>
      <c r="O321" s="26"/>
      <c r="P321" s="6"/>
      <c r="Q321" s="6"/>
    </row>
    <row r="322" customFormat="false" ht="15" hidden="false" customHeight="false" outlineLevel="0" collapsed="false">
      <c r="A322" s="6" t="s">
        <v>1338</v>
      </c>
      <c r="B322" s="18" t="s">
        <v>1332</v>
      </c>
      <c r="C322" s="6" t="s">
        <v>1339</v>
      </c>
      <c r="E322" s="19" t="s">
        <v>97</v>
      </c>
      <c r="F322" s="20" t="s">
        <v>93</v>
      </c>
      <c r="G322" s="20" t="s">
        <v>74</v>
      </c>
      <c r="H322" s="20" t="s">
        <v>97</v>
      </c>
      <c r="I322" s="20" t="s">
        <v>97</v>
      </c>
      <c r="J322" s="22" t="n">
        <v>0</v>
      </c>
      <c r="K322" s="29" t="n">
        <v>100</v>
      </c>
      <c r="L322" s="18" t="s">
        <v>98</v>
      </c>
      <c r="M322" s="30"/>
      <c r="N322" s="25" t="str">
        <f aca="false">IF(AND(ISNUMBER(J322),ISNUMBER(K322),ISNUMBER(M322),K322&lt;&gt;J322),MAX(0,MIN(1,(M322-J322)/(K322-J322))),"")</f>
        <v/>
      </c>
      <c r="O322" s="26"/>
      <c r="P322" s="6"/>
      <c r="Q322" s="6"/>
    </row>
    <row r="323" customFormat="false" ht="93" hidden="false" customHeight="true" outlineLevel="0" collapsed="false">
      <c r="A323" s="12" t="s">
        <v>1340</v>
      </c>
      <c r="B323" s="12" t="s">
        <v>1332</v>
      </c>
      <c r="C323" s="13" t="s">
        <v>1341</v>
      </c>
      <c r="D323" s="14" t="s">
        <v>1323</v>
      </c>
      <c r="E323" s="15"/>
      <c r="F323" s="15"/>
      <c r="G323" s="15"/>
      <c r="H323" s="15"/>
      <c r="I323" s="15"/>
      <c r="J323" s="15"/>
      <c r="K323" s="15"/>
      <c r="L323" s="15"/>
      <c r="M323" s="16" t="s">
        <v>66</v>
      </c>
      <c r="N323" s="17" t="n">
        <f aca="false">IFERROR(AVERAGE(N324:N328),"")</f>
        <v>0</v>
      </c>
      <c r="O323" s="14"/>
      <c r="P323" s="14" t="s">
        <v>1342</v>
      </c>
      <c r="Q323" s="14" t="s">
        <v>1343</v>
      </c>
    </row>
    <row r="324" customFormat="false" ht="15" hidden="false" customHeight="false" outlineLevel="0" collapsed="false">
      <c r="A324" s="6" t="s">
        <v>1344</v>
      </c>
      <c r="B324" s="18" t="s">
        <v>1332</v>
      </c>
      <c r="C324" s="6" t="s">
        <v>403</v>
      </c>
      <c r="E324" s="19" t="s">
        <v>404</v>
      </c>
      <c r="F324" s="20" t="s">
        <v>93</v>
      </c>
      <c r="G324" s="20" t="s">
        <v>74</v>
      </c>
      <c r="H324" s="22" t="n">
        <v>100</v>
      </c>
      <c r="I324" s="22" t="n">
        <v>100</v>
      </c>
      <c r="J324" s="22" t="n">
        <v>100</v>
      </c>
      <c r="K324" s="28" t="n">
        <v>100</v>
      </c>
      <c r="L324" s="18" t="s">
        <v>405</v>
      </c>
      <c r="M324" s="27" t="n">
        <v>100</v>
      </c>
      <c r="N324" s="25" t="str">
        <f aca="false">IF(AND(ISNUMBER(J324),ISNUMBER(K324),ISNUMBER(M324),K324&lt;&gt;J324),MAX(0,MIN(1,(M324-J324)/(K324-J324))),"")</f>
        <v/>
      </c>
      <c r="O324" s="26"/>
      <c r="P324" s="6"/>
      <c r="Q324" s="6"/>
    </row>
    <row r="325" customFormat="false" ht="22.35" hidden="false" customHeight="false" outlineLevel="0" collapsed="false">
      <c r="A325" s="6" t="s">
        <v>1345</v>
      </c>
      <c r="B325" s="18" t="s">
        <v>1332</v>
      </c>
      <c r="C325" s="6" t="s">
        <v>1346</v>
      </c>
      <c r="E325" s="19" t="s">
        <v>1347</v>
      </c>
      <c r="F325" s="20" t="s">
        <v>93</v>
      </c>
      <c r="G325" s="20" t="s">
        <v>74</v>
      </c>
      <c r="H325" s="20" t="s">
        <v>97</v>
      </c>
      <c r="I325" s="22" t="n">
        <v>100</v>
      </c>
      <c r="J325" s="22" t="n">
        <v>100</v>
      </c>
      <c r="K325" s="28" t="n">
        <v>100</v>
      </c>
      <c r="L325" s="18" t="s">
        <v>405</v>
      </c>
      <c r="M325" s="27" t="n">
        <v>100</v>
      </c>
      <c r="N325" s="25" t="str">
        <f aca="false">IF(AND(ISNUMBER(J325),ISNUMBER(K325),ISNUMBER(M325),K325&lt;&gt;J325),MAX(0,MIN(1,(M325-J325)/(K325-J325))),"")</f>
        <v/>
      </c>
      <c r="O325" s="31" t="s">
        <v>456</v>
      </c>
      <c r="P325" s="6"/>
      <c r="Q325" s="6"/>
    </row>
    <row r="326" customFormat="false" ht="22.35" hidden="false" customHeight="false" outlineLevel="0" collapsed="false">
      <c r="A326" s="6" t="s">
        <v>1348</v>
      </c>
      <c r="B326" s="18" t="s">
        <v>1332</v>
      </c>
      <c r="C326" s="6" t="s">
        <v>162</v>
      </c>
      <c r="E326" s="19" t="s">
        <v>163</v>
      </c>
      <c r="F326" s="20" t="s">
        <v>164</v>
      </c>
      <c r="G326" s="20" t="s">
        <v>74</v>
      </c>
      <c r="H326" s="22" t="n">
        <v>4.63</v>
      </c>
      <c r="I326" s="22" t="n">
        <v>1.46</v>
      </c>
      <c r="J326" s="22" t="n">
        <v>1.46</v>
      </c>
      <c r="K326" s="28" t="n">
        <v>1.79</v>
      </c>
      <c r="L326" s="18" t="s">
        <v>119</v>
      </c>
      <c r="M326" s="27" t="n">
        <v>1.46</v>
      </c>
      <c r="N326" s="25" t="n">
        <f aca="false">IF(AND(ISNUMBER(J326),ISNUMBER(K326),ISNUMBER(M326),K326&lt;&gt;J326),MAX(0,MIN(1,(M326-J326)/(K326-J326))),"")</f>
        <v>0</v>
      </c>
      <c r="O326" s="31" t="s">
        <v>139</v>
      </c>
      <c r="P326" s="6"/>
      <c r="Q326" s="6"/>
    </row>
    <row r="327" customFormat="false" ht="22.35" hidden="false" customHeight="false" outlineLevel="0" collapsed="false">
      <c r="A327" s="6" t="s">
        <v>1349</v>
      </c>
      <c r="B327" s="18" t="s">
        <v>1332</v>
      </c>
      <c r="C327" s="6" t="s">
        <v>1350</v>
      </c>
      <c r="E327" s="19" t="s">
        <v>1351</v>
      </c>
      <c r="F327" s="20" t="s">
        <v>164</v>
      </c>
      <c r="G327" s="20" t="s">
        <v>74</v>
      </c>
      <c r="H327" s="22" t="n">
        <v>7.55</v>
      </c>
      <c r="I327" s="22" t="n">
        <v>2.73</v>
      </c>
      <c r="J327" s="22" t="n">
        <v>2.73</v>
      </c>
      <c r="K327" s="29" t="n">
        <v>4.365</v>
      </c>
      <c r="L327" s="18" t="s">
        <v>168</v>
      </c>
      <c r="M327" s="27" t="n">
        <v>2.73</v>
      </c>
      <c r="N327" s="25" t="n">
        <f aca="false">IF(AND(ISNUMBER(J327),ISNUMBER(K327),ISNUMBER(M327),K327&lt;&gt;J327),MAX(0,MIN(1,(M327-J327)/(K327-J327))),"")</f>
        <v>0</v>
      </c>
      <c r="O327" s="31" t="s">
        <v>139</v>
      </c>
      <c r="P327" s="6"/>
      <c r="Q327" s="6"/>
    </row>
    <row r="328" customFormat="false" ht="15" hidden="false" customHeight="false" outlineLevel="0" collapsed="false">
      <c r="A328" s="6" t="s">
        <v>1352</v>
      </c>
      <c r="B328" s="18" t="s">
        <v>1332</v>
      </c>
      <c r="C328" s="6" t="s">
        <v>1353</v>
      </c>
      <c r="E328" s="19" t="s">
        <v>1354</v>
      </c>
      <c r="F328" s="20" t="s">
        <v>117</v>
      </c>
      <c r="G328" s="20" t="s">
        <v>118</v>
      </c>
      <c r="H328" s="20" t="s">
        <v>97</v>
      </c>
      <c r="I328" s="22" t="n">
        <v>62.8</v>
      </c>
      <c r="J328" s="22" t="n">
        <v>62.8</v>
      </c>
      <c r="K328" s="29" t="n">
        <v>59.66</v>
      </c>
      <c r="L328" s="18" t="s">
        <v>138</v>
      </c>
      <c r="M328" s="27" t="n">
        <v>62.8</v>
      </c>
      <c r="N328" s="25" t="n">
        <f aca="false">IF(AND(ISNUMBER(J328),ISNUMBER(K328),ISNUMBER(M328),K328&lt;&gt;J328),MAX(0,MIN(1,(M328-J328)/(K328-J328))),"")</f>
        <v>-0</v>
      </c>
      <c r="O328" s="26"/>
      <c r="P328" s="6"/>
      <c r="Q328" s="6"/>
    </row>
    <row r="329" customFormat="false" ht="55.5" hidden="false" customHeight="true" outlineLevel="0" collapsed="false">
      <c r="A329" s="12" t="s">
        <v>1355</v>
      </c>
      <c r="B329" s="12" t="s">
        <v>1332</v>
      </c>
      <c r="C329" s="13" t="s">
        <v>1356</v>
      </c>
      <c r="D329" s="14" t="s">
        <v>1323</v>
      </c>
      <c r="E329" s="15"/>
      <c r="F329" s="15"/>
      <c r="G329" s="15"/>
      <c r="H329" s="15"/>
      <c r="I329" s="15"/>
      <c r="J329" s="15"/>
      <c r="K329" s="15"/>
      <c r="L329" s="15"/>
      <c r="M329" s="16" t="s">
        <v>66</v>
      </c>
      <c r="N329" s="17" t="n">
        <f aca="false">IFERROR(AVERAGE(N330:N332),"")</f>
        <v>0</v>
      </c>
      <c r="O329" s="14"/>
      <c r="P329" s="14" t="s">
        <v>1357</v>
      </c>
      <c r="Q329" s="14" t="s">
        <v>1358</v>
      </c>
    </row>
    <row r="330" customFormat="false" ht="15" hidden="false" customHeight="false" outlineLevel="0" collapsed="false">
      <c r="A330" s="6" t="s">
        <v>1359</v>
      </c>
      <c r="B330" s="18" t="s">
        <v>1332</v>
      </c>
      <c r="C330" s="6" t="s">
        <v>166</v>
      </c>
      <c r="E330" s="19" t="s">
        <v>167</v>
      </c>
      <c r="F330" s="20" t="s">
        <v>93</v>
      </c>
      <c r="G330" s="20" t="s">
        <v>118</v>
      </c>
      <c r="H330" s="22" t="n">
        <v>17.6</v>
      </c>
      <c r="I330" s="22" t="n">
        <v>14.56</v>
      </c>
      <c r="J330" s="22" t="n">
        <v>14.56</v>
      </c>
      <c r="K330" s="29" t="n">
        <v>9.78</v>
      </c>
      <c r="L330" s="18" t="s">
        <v>168</v>
      </c>
      <c r="M330" s="27" t="n">
        <v>14.56</v>
      </c>
      <c r="N330" s="25" t="n">
        <f aca="false">IF(AND(ISNUMBER(J330),ISNUMBER(K330),ISNUMBER(M330),K330&lt;&gt;J330),MAX(0,MIN(1,(M330-J330)/(K330-J330))),"")</f>
        <v>-0</v>
      </c>
      <c r="O330" s="26"/>
      <c r="P330" s="6"/>
      <c r="Q330" s="6"/>
    </row>
    <row r="331" customFormat="false" ht="15" hidden="false" customHeight="false" outlineLevel="0" collapsed="false">
      <c r="A331" s="6" t="s">
        <v>1360</v>
      </c>
      <c r="B331" s="18" t="s">
        <v>1332</v>
      </c>
      <c r="C331" s="6" t="s">
        <v>1361</v>
      </c>
      <c r="E331" s="19" t="s">
        <v>97</v>
      </c>
      <c r="F331" s="20" t="s">
        <v>79</v>
      </c>
      <c r="G331" s="20" t="s">
        <v>74</v>
      </c>
      <c r="H331" s="20" t="s">
        <v>97</v>
      </c>
      <c r="I331" s="20" t="s">
        <v>97</v>
      </c>
      <c r="J331" s="22" t="n">
        <v>0</v>
      </c>
      <c r="K331" s="29" t="n">
        <v>4</v>
      </c>
      <c r="L331" s="18" t="s">
        <v>98</v>
      </c>
      <c r="M331" s="30"/>
      <c r="N331" s="25" t="str">
        <f aca="false">IF(AND(ISNUMBER(J331),ISNUMBER(K331),ISNUMBER(M331),K331&lt;&gt;J331),MAX(0,MIN(1,(M331-J331)/(K331-J331))),"")</f>
        <v/>
      </c>
      <c r="O331" s="26"/>
      <c r="P331" s="6"/>
      <c r="Q331" s="6"/>
    </row>
    <row r="332" customFormat="false" ht="15" hidden="false" customHeight="false" outlineLevel="0" collapsed="false">
      <c r="A332" s="6" t="s">
        <v>1362</v>
      </c>
      <c r="B332" s="18" t="s">
        <v>1332</v>
      </c>
      <c r="C332" s="6" t="s">
        <v>1363</v>
      </c>
      <c r="E332" s="19" t="s">
        <v>97</v>
      </c>
      <c r="F332" s="20" t="s">
        <v>79</v>
      </c>
      <c r="G332" s="20" t="s">
        <v>74</v>
      </c>
      <c r="H332" s="20" t="s">
        <v>97</v>
      </c>
      <c r="I332" s="20" t="s">
        <v>97</v>
      </c>
      <c r="J332" s="22" t="n">
        <v>0</v>
      </c>
      <c r="K332" s="29" t="n">
        <v>1</v>
      </c>
      <c r="L332" s="18" t="s">
        <v>98</v>
      </c>
      <c r="M332" s="30"/>
      <c r="N332" s="25" t="str">
        <f aca="false">IF(AND(ISNUMBER(J332),ISNUMBER(K332),ISNUMBER(M332),K332&lt;&gt;J332),MAX(0,MIN(1,(M332-J332)/(K332-J332))),"")</f>
        <v/>
      </c>
      <c r="O332" s="26"/>
      <c r="P332" s="6"/>
      <c r="Q332" s="6"/>
    </row>
    <row r="333" customFormat="false" ht="24" hidden="false" customHeight="true" outlineLevel="0" collapsed="false">
      <c r="A333" s="35" t="s">
        <v>1364</v>
      </c>
      <c r="B333" s="34"/>
      <c r="C333" s="34"/>
      <c r="D333" s="34"/>
      <c r="E333" s="34"/>
      <c r="F333" s="34"/>
      <c r="G333" s="34"/>
      <c r="H333" s="34"/>
      <c r="I333" s="34"/>
      <c r="J333" s="34"/>
      <c r="K333" s="34"/>
      <c r="L333" s="34"/>
      <c r="M333" s="34"/>
      <c r="N333" s="34"/>
      <c r="O333" s="34"/>
      <c r="P333" s="34"/>
      <c r="Q333" s="34"/>
    </row>
    <row r="334" customFormat="false" ht="81" hidden="false" customHeight="true" outlineLevel="0" collapsed="false">
      <c r="A334" s="12" t="s">
        <v>1365</v>
      </c>
      <c r="B334" s="12" t="s">
        <v>1366</v>
      </c>
      <c r="C334" s="13" t="s">
        <v>1367</v>
      </c>
      <c r="D334" s="14" t="s">
        <v>1368</v>
      </c>
      <c r="E334" s="15"/>
      <c r="F334" s="15"/>
      <c r="G334" s="15"/>
      <c r="H334" s="15"/>
      <c r="I334" s="15"/>
      <c r="J334" s="15"/>
      <c r="K334" s="15"/>
      <c r="L334" s="15"/>
      <c r="M334" s="16" t="s">
        <v>66</v>
      </c>
      <c r="N334" s="17" t="n">
        <f aca="false">IFERROR(AVERAGE(N335:N336),"")</f>
        <v>0.5</v>
      </c>
      <c r="O334" s="14"/>
      <c r="P334" s="14" t="s">
        <v>1369</v>
      </c>
      <c r="Q334" s="14" t="s">
        <v>1370</v>
      </c>
    </row>
    <row r="335" customFormat="false" ht="32.8" hidden="false" customHeight="false" outlineLevel="0" collapsed="false">
      <c r="A335" s="6" t="s">
        <v>1371</v>
      </c>
      <c r="B335" s="18" t="s">
        <v>1366</v>
      </c>
      <c r="C335" s="6" t="s">
        <v>425</v>
      </c>
      <c r="E335" s="19" t="s">
        <v>426</v>
      </c>
      <c r="F335" s="20" t="s">
        <v>73</v>
      </c>
      <c r="G335" s="20" t="s">
        <v>74</v>
      </c>
      <c r="H335" s="20" t="s">
        <v>97</v>
      </c>
      <c r="I335" s="21" t="n">
        <v>1187</v>
      </c>
      <c r="J335" s="22" t="n">
        <v>0</v>
      </c>
      <c r="K335" s="23" t="n">
        <v>2374</v>
      </c>
      <c r="L335" s="18" t="s">
        <v>75</v>
      </c>
      <c r="M335" s="24" t="n">
        <v>1187</v>
      </c>
      <c r="N335" s="25" t="n">
        <f aca="false">IF(AND(ISNUMBER(J335),ISNUMBER(K335),ISNUMBER(M335),K335&lt;&gt;J335),MAX(0,MIN(1,(M335-J335)/(K335-J335))),"")</f>
        <v>0.5</v>
      </c>
      <c r="O335" s="26"/>
      <c r="P335" s="6"/>
      <c r="Q335" s="6"/>
    </row>
    <row r="336" customFormat="false" ht="15" hidden="false" customHeight="false" outlineLevel="0" collapsed="false">
      <c r="A336" s="6" t="s">
        <v>1372</v>
      </c>
      <c r="B336" s="18" t="s">
        <v>1366</v>
      </c>
      <c r="C336" s="6" t="s">
        <v>1373</v>
      </c>
      <c r="E336" s="19" t="s">
        <v>97</v>
      </c>
      <c r="F336" s="20" t="s">
        <v>93</v>
      </c>
      <c r="G336" s="20" t="s">
        <v>74</v>
      </c>
      <c r="H336" s="20" t="s">
        <v>97</v>
      </c>
      <c r="I336" s="20" t="s">
        <v>97</v>
      </c>
      <c r="J336" s="22" t="n">
        <v>0</v>
      </c>
      <c r="K336" s="29" t="n">
        <v>80</v>
      </c>
      <c r="L336" s="18" t="s">
        <v>98</v>
      </c>
      <c r="M336" s="30"/>
      <c r="N336" s="25" t="str">
        <f aca="false">IF(AND(ISNUMBER(J336),ISNUMBER(K336),ISNUMBER(M336),K336&lt;&gt;J336),MAX(0,MIN(1,(M336-J336)/(K336-J336))),"")</f>
        <v/>
      </c>
      <c r="O336" s="26"/>
      <c r="P336" s="6"/>
      <c r="Q336" s="6"/>
    </row>
    <row r="337" customFormat="false" ht="118.5" hidden="false" customHeight="true" outlineLevel="0" collapsed="false">
      <c r="A337" s="12" t="s">
        <v>1374</v>
      </c>
      <c r="B337" s="12" t="s">
        <v>1366</v>
      </c>
      <c r="C337" s="13" t="s">
        <v>1375</v>
      </c>
      <c r="D337" s="14" t="s">
        <v>1368</v>
      </c>
      <c r="E337" s="15"/>
      <c r="F337" s="15"/>
      <c r="G337" s="15"/>
      <c r="H337" s="15"/>
      <c r="I337" s="15"/>
      <c r="J337" s="15"/>
      <c r="K337" s="15"/>
      <c r="L337" s="15"/>
      <c r="M337" s="16" t="s">
        <v>66</v>
      </c>
      <c r="N337" s="17" t="n">
        <f aca="false">IFERROR(AVERAGE(N338:N339),"")</f>
        <v>0.325</v>
      </c>
      <c r="O337" s="14"/>
      <c r="P337" s="14" t="s">
        <v>1376</v>
      </c>
      <c r="Q337" s="14" t="s">
        <v>1377</v>
      </c>
    </row>
    <row r="338" customFormat="false" ht="32.8" hidden="false" customHeight="false" outlineLevel="0" collapsed="false">
      <c r="A338" s="6" t="s">
        <v>1378</v>
      </c>
      <c r="B338" s="18" t="s">
        <v>1366</v>
      </c>
      <c r="C338" s="6" t="s">
        <v>428</v>
      </c>
      <c r="E338" s="19" t="s">
        <v>429</v>
      </c>
      <c r="F338" s="20" t="s">
        <v>73</v>
      </c>
      <c r="G338" s="20" t="s">
        <v>74</v>
      </c>
      <c r="H338" s="20" t="s">
        <v>97</v>
      </c>
      <c r="I338" s="22" t="n">
        <v>1.3</v>
      </c>
      <c r="J338" s="22" t="n">
        <v>0</v>
      </c>
      <c r="K338" s="29" t="n">
        <v>4</v>
      </c>
      <c r="L338" s="18" t="s">
        <v>75</v>
      </c>
      <c r="M338" s="27" t="n">
        <v>1.3</v>
      </c>
      <c r="N338" s="25" t="n">
        <f aca="false">IF(AND(ISNUMBER(J338),ISNUMBER(K338),ISNUMBER(M338),K338&lt;&gt;J338),MAX(0,MIN(1,(M338-J338)/(K338-J338))),"")</f>
        <v>0.325</v>
      </c>
      <c r="O338" s="26"/>
      <c r="P338" s="6"/>
      <c r="Q338" s="6"/>
    </row>
    <row r="339" customFormat="false" ht="22.35" hidden="false" customHeight="false" outlineLevel="0" collapsed="false">
      <c r="A339" s="6" t="s">
        <v>1379</v>
      </c>
      <c r="B339" s="18" t="s">
        <v>1366</v>
      </c>
      <c r="C339" s="6" t="s">
        <v>1380</v>
      </c>
      <c r="E339" s="19" t="s">
        <v>97</v>
      </c>
      <c r="F339" s="20" t="s">
        <v>93</v>
      </c>
      <c r="G339" s="20" t="s">
        <v>118</v>
      </c>
      <c r="H339" s="20" t="s">
        <v>97</v>
      </c>
      <c r="I339" s="20" t="s">
        <v>97</v>
      </c>
      <c r="J339" s="22" t="n">
        <v>0</v>
      </c>
      <c r="K339" s="29" t="n">
        <v>-10</v>
      </c>
      <c r="L339" s="18" t="s">
        <v>792</v>
      </c>
      <c r="M339" s="30"/>
      <c r="N339" s="25" t="str">
        <f aca="false">IF(AND(ISNUMBER(J339),ISNUMBER(K339),ISNUMBER(M339),K339&lt;&gt;J339),MAX(0,MIN(1,(M339-J339)/(K339-J339))),"")</f>
        <v/>
      </c>
      <c r="O339" s="26"/>
      <c r="P339" s="6"/>
      <c r="Q339" s="6"/>
    </row>
    <row r="340" customFormat="false" ht="45" hidden="false" customHeight="true" outlineLevel="0" collapsed="false">
      <c r="A340" s="12" t="s">
        <v>1381</v>
      </c>
      <c r="B340" s="12" t="s">
        <v>1366</v>
      </c>
      <c r="C340" s="13" t="s">
        <v>1382</v>
      </c>
      <c r="D340" s="14" t="s">
        <v>1368</v>
      </c>
      <c r="E340" s="15"/>
      <c r="F340" s="15"/>
      <c r="G340" s="15"/>
      <c r="H340" s="15"/>
      <c r="I340" s="15"/>
      <c r="J340" s="15"/>
      <c r="K340" s="15"/>
      <c r="L340" s="15"/>
      <c r="M340" s="16" t="s">
        <v>66</v>
      </c>
      <c r="N340" s="17" t="str">
        <f aca="false">IFERROR(AVERAGE(N341:N342),"")</f>
        <v/>
      </c>
      <c r="O340" s="14"/>
      <c r="P340" s="14" t="s">
        <v>1383</v>
      </c>
      <c r="Q340" s="14" t="s">
        <v>1384</v>
      </c>
    </row>
    <row r="341" customFormat="false" ht="15" hidden="false" customHeight="false" outlineLevel="0" collapsed="false">
      <c r="A341" s="6" t="s">
        <v>1385</v>
      </c>
      <c r="B341" s="18" t="s">
        <v>1366</v>
      </c>
      <c r="C341" s="6" t="s">
        <v>1386</v>
      </c>
      <c r="E341" s="19" t="s">
        <v>97</v>
      </c>
      <c r="F341" s="20" t="s">
        <v>93</v>
      </c>
      <c r="G341" s="20" t="s">
        <v>74</v>
      </c>
      <c r="H341" s="20" t="s">
        <v>97</v>
      </c>
      <c r="I341" s="20" t="s">
        <v>97</v>
      </c>
      <c r="J341" s="22" t="n">
        <v>0</v>
      </c>
      <c r="K341" s="29" t="n">
        <v>100</v>
      </c>
      <c r="L341" s="18" t="s">
        <v>98</v>
      </c>
      <c r="M341" s="30"/>
      <c r="N341" s="25" t="str">
        <f aca="false">IF(AND(ISNUMBER(J341),ISNUMBER(K341),ISNUMBER(M341),K341&lt;&gt;J341),MAX(0,MIN(1,(M341-J341)/(K341-J341))),"")</f>
        <v/>
      </c>
      <c r="O341" s="26"/>
      <c r="P341" s="6"/>
      <c r="Q341" s="6"/>
    </row>
    <row r="342" customFormat="false" ht="15" hidden="false" customHeight="false" outlineLevel="0" collapsed="false">
      <c r="A342" s="6" t="s">
        <v>1387</v>
      </c>
      <c r="B342" s="18" t="s">
        <v>1366</v>
      </c>
      <c r="C342" s="6" t="s">
        <v>1388</v>
      </c>
      <c r="E342" s="19" t="s">
        <v>97</v>
      </c>
      <c r="F342" s="20" t="s">
        <v>79</v>
      </c>
      <c r="G342" s="20" t="s">
        <v>74</v>
      </c>
      <c r="H342" s="20" t="s">
        <v>97</v>
      </c>
      <c r="I342" s="20" t="s">
        <v>97</v>
      </c>
      <c r="J342" s="22" t="n">
        <v>0</v>
      </c>
      <c r="K342" s="29" t="n">
        <v>12</v>
      </c>
      <c r="L342" s="18" t="s">
        <v>98</v>
      </c>
      <c r="M342" s="30"/>
      <c r="N342" s="25" t="str">
        <f aca="false">IF(AND(ISNUMBER(J342),ISNUMBER(K342),ISNUMBER(M342),K342&lt;&gt;J342),MAX(0,MIN(1,(M342-J342)/(K342-J342))),"")</f>
        <v/>
      </c>
      <c r="O342" s="26"/>
      <c r="P342" s="6"/>
      <c r="Q342" s="6"/>
    </row>
    <row r="343" customFormat="false" ht="24" hidden="false" customHeight="true" outlineLevel="0" collapsed="false">
      <c r="A343" s="35" t="s">
        <v>1389</v>
      </c>
      <c r="B343" s="34"/>
      <c r="C343" s="34"/>
      <c r="D343" s="34"/>
      <c r="E343" s="34"/>
      <c r="F343" s="34"/>
      <c r="G343" s="34"/>
      <c r="H343" s="34"/>
      <c r="I343" s="34"/>
      <c r="J343" s="34"/>
      <c r="K343" s="34"/>
      <c r="L343" s="34"/>
      <c r="M343" s="34"/>
      <c r="N343" s="34"/>
      <c r="O343" s="34"/>
      <c r="P343" s="34"/>
      <c r="Q343" s="34"/>
    </row>
    <row r="344" customFormat="false" ht="81" hidden="false" customHeight="true" outlineLevel="0" collapsed="false">
      <c r="A344" s="12" t="s">
        <v>1390</v>
      </c>
      <c r="B344" s="12" t="s">
        <v>1391</v>
      </c>
      <c r="C344" s="13" t="s">
        <v>1392</v>
      </c>
      <c r="D344" s="14" t="s">
        <v>1393</v>
      </c>
      <c r="E344" s="15"/>
      <c r="F344" s="15"/>
      <c r="G344" s="15"/>
      <c r="H344" s="15"/>
      <c r="I344" s="15"/>
      <c r="J344" s="15"/>
      <c r="K344" s="15"/>
      <c r="L344" s="15"/>
      <c r="M344" s="16" t="s">
        <v>66</v>
      </c>
      <c r="N344" s="17" t="str">
        <f aca="false">IFERROR(AVERAGE(N345:N346),"")</f>
        <v/>
      </c>
      <c r="O344" s="14"/>
      <c r="P344" s="14" t="s">
        <v>1394</v>
      </c>
      <c r="Q344" s="14" t="s">
        <v>1395</v>
      </c>
    </row>
    <row r="345" customFormat="false" ht="15" hidden="false" customHeight="false" outlineLevel="0" collapsed="false">
      <c r="A345" s="6" t="s">
        <v>1396</v>
      </c>
      <c r="B345" s="18" t="s">
        <v>1391</v>
      </c>
      <c r="C345" s="6" t="s">
        <v>1397</v>
      </c>
      <c r="E345" s="19" t="s">
        <v>97</v>
      </c>
      <c r="F345" s="20" t="s">
        <v>93</v>
      </c>
      <c r="G345" s="20" t="s">
        <v>74</v>
      </c>
      <c r="H345" s="20" t="s">
        <v>97</v>
      </c>
      <c r="I345" s="20" t="s">
        <v>97</v>
      </c>
      <c r="J345" s="22" t="n">
        <v>0</v>
      </c>
      <c r="K345" s="29" t="n">
        <v>95</v>
      </c>
      <c r="L345" s="18" t="s">
        <v>98</v>
      </c>
      <c r="M345" s="30"/>
      <c r="N345" s="25" t="str">
        <f aca="false">IF(AND(ISNUMBER(J345),ISNUMBER(K345),ISNUMBER(M345),K345&lt;&gt;J345),MAX(0,MIN(1,(M345-J345)/(K345-J345))),"")</f>
        <v/>
      </c>
      <c r="O345" s="26"/>
      <c r="P345" s="6"/>
      <c r="Q345" s="6"/>
    </row>
    <row r="346" customFormat="false" ht="15" hidden="false" customHeight="false" outlineLevel="0" collapsed="false">
      <c r="A346" s="6" t="s">
        <v>1398</v>
      </c>
      <c r="B346" s="18" t="s">
        <v>1391</v>
      </c>
      <c r="C346" s="6" t="s">
        <v>1399</v>
      </c>
      <c r="E346" s="19" t="s">
        <v>97</v>
      </c>
      <c r="F346" s="20" t="s">
        <v>79</v>
      </c>
      <c r="G346" s="20" t="s">
        <v>74</v>
      </c>
      <c r="H346" s="20" t="s">
        <v>97</v>
      </c>
      <c r="I346" s="20" t="s">
        <v>97</v>
      </c>
      <c r="J346" s="22" t="n">
        <v>0</v>
      </c>
      <c r="K346" s="29" t="n">
        <v>12</v>
      </c>
      <c r="L346" s="18" t="s">
        <v>98</v>
      </c>
      <c r="M346" s="30"/>
      <c r="N346" s="25" t="str">
        <f aca="false">IF(AND(ISNUMBER(J346),ISNUMBER(K346),ISNUMBER(M346),K346&lt;&gt;J346),MAX(0,MIN(1,(M346-J346)/(K346-J346))),"")</f>
        <v/>
      </c>
      <c r="O346" s="26"/>
      <c r="P346" s="6"/>
      <c r="Q346" s="6"/>
    </row>
    <row r="347" customFormat="false" ht="280.5" hidden="false" customHeight="true" outlineLevel="0" collapsed="false">
      <c r="A347" s="12" t="s">
        <v>1400</v>
      </c>
      <c r="B347" s="12" t="s">
        <v>1391</v>
      </c>
      <c r="C347" s="13" t="s">
        <v>1401</v>
      </c>
      <c r="D347" s="14" t="s">
        <v>1393</v>
      </c>
      <c r="E347" s="15"/>
      <c r="F347" s="15"/>
      <c r="G347" s="15"/>
      <c r="H347" s="15"/>
      <c r="I347" s="15"/>
      <c r="J347" s="15"/>
      <c r="K347" s="15"/>
      <c r="L347" s="15"/>
      <c r="M347" s="16" t="s">
        <v>66</v>
      </c>
      <c r="N347" s="17" t="n">
        <f aca="false">IFERROR(AVERAGE(N348:N350),"")</f>
        <v>0.5</v>
      </c>
      <c r="O347" s="14"/>
      <c r="P347" s="14" t="s">
        <v>1402</v>
      </c>
      <c r="Q347" s="14" t="s">
        <v>1403</v>
      </c>
    </row>
    <row r="348" customFormat="false" ht="32.8" hidden="false" customHeight="false" outlineLevel="0" collapsed="false">
      <c r="A348" s="6" t="s">
        <v>1404</v>
      </c>
      <c r="B348" s="18" t="s">
        <v>1391</v>
      </c>
      <c r="C348" s="6" t="s">
        <v>105</v>
      </c>
      <c r="E348" s="19" t="s">
        <v>436</v>
      </c>
      <c r="F348" s="20" t="s">
        <v>73</v>
      </c>
      <c r="G348" s="20" t="s">
        <v>74</v>
      </c>
      <c r="H348" s="21" t="n">
        <v>1526</v>
      </c>
      <c r="I348" s="21" t="n">
        <v>1156.52</v>
      </c>
      <c r="J348" s="22" t="n">
        <v>0</v>
      </c>
      <c r="K348" s="23" t="n">
        <v>2313.04</v>
      </c>
      <c r="L348" s="18" t="s">
        <v>75</v>
      </c>
      <c r="M348" s="24" t="n">
        <v>1156.52</v>
      </c>
      <c r="N348" s="25" t="n">
        <f aca="false">IF(AND(ISNUMBER(J348),ISNUMBER(K348),ISNUMBER(M348),K348&lt;&gt;J348),MAX(0,MIN(1,(M348-J348)/(K348-J348))),"")</f>
        <v>0.5</v>
      </c>
      <c r="O348" s="31" t="s">
        <v>107</v>
      </c>
      <c r="P348" s="6"/>
      <c r="Q348" s="6"/>
    </row>
    <row r="349" customFormat="false" ht="32.8" hidden="false" customHeight="false" outlineLevel="0" collapsed="false">
      <c r="A349" s="6" t="s">
        <v>1405</v>
      </c>
      <c r="B349" s="18" t="s">
        <v>1391</v>
      </c>
      <c r="C349" s="6" t="s">
        <v>112</v>
      </c>
      <c r="E349" s="19" t="s">
        <v>113</v>
      </c>
      <c r="F349" s="20" t="s">
        <v>73</v>
      </c>
      <c r="G349" s="20" t="s">
        <v>74</v>
      </c>
      <c r="H349" s="20" t="s">
        <v>97</v>
      </c>
      <c r="I349" s="21" t="n">
        <v>1415.92</v>
      </c>
      <c r="J349" s="22" t="n">
        <v>0</v>
      </c>
      <c r="K349" s="23" t="n">
        <v>2831.84</v>
      </c>
      <c r="L349" s="18" t="s">
        <v>75</v>
      </c>
      <c r="M349" s="24" t="n">
        <v>1415.92</v>
      </c>
      <c r="N349" s="25" t="n">
        <f aca="false">IF(AND(ISNUMBER(J349),ISNUMBER(K349),ISNUMBER(M349),K349&lt;&gt;J349),MAX(0,MIN(1,(M349-J349)/(K349-J349))),"")</f>
        <v>0.5</v>
      </c>
      <c r="O349" s="31" t="s">
        <v>107</v>
      </c>
      <c r="P349" s="6"/>
      <c r="Q349" s="6"/>
    </row>
    <row r="350" customFormat="false" ht="15" hidden="false" customHeight="false" outlineLevel="0" collapsed="false">
      <c r="A350" s="6" t="s">
        <v>1406</v>
      </c>
      <c r="B350" s="18" t="s">
        <v>1391</v>
      </c>
      <c r="C350" s="6" t="s">
        <v>1407</v>
      </c>
      <c r="E350" s="19" t="s">
        <v>97</v>
      </c>
      <c r="F350" s="20" t="s">
        <v>93</v>
      </c>
      <c r="G350" s="20" t="s">
        <v>74</v>
      </c>
      <c r="H350" s="20" t="s">
        <v>97</v>
      </c>
      <c r="I350" s="20" t="s">
        <v>97</v>
      </c>
      <c r="J350" s="22" t="n">
        <v>0</v>
      </c>
      <c r="K350" s="29" t="n">
        <v>100</v>
      </c>
      <c r="L350" s="18" t="s">
        <v>98</v>
      </c>
      <c r="M350" s="30"/>
      <c r="N350" s="25" t="str">
        <f aca="false">IF(AND(ISNUMBER(J350),ISNUMBER(K350),ISNUMBER(M350),K350&lt;&gt;J350),MAX(0,MIN(1,(M350-J350)/(K350-J350))),"")</f>
        <v/>
      </c>
      <c r="O350" s="26"/>
      <c r="P350" s="6"/>
      <c r="Q350" s="6"/>
    </row>
    <row r="351" customFormat="false" ht="156" hidden="false" customHeight="true" outlineLevel="0" collapsed="false">
      <c r="A351" s="12" t="s">
        <v>1408</v>
      </c>
      <c r="B351" s="12" t="s">
        <v>1391</v>
      </c>
      <c r="C351" s="13" t="s">
        <v>1409</v>
      </c>
      <c r="D351" s="14" t="s">
        <v>1410</v>
      </c>
      <c r="E351" s="15"/>
      <c r="F351" s="15"/>
      <c r="G351" s="15"/>
      <c r="H351" s="15"/>
      <c r="I351" s="15"/>
      <c r="J351" s="15"/>
      <c r="K351" s="15"/>
      <c r="L351" s="15"/>
      <c r="M351" s="16" t="s">
        <v>66</v>
      </c>
      <c r="N351" s="17" t="n">
        <f aca="false">IFERROR(AVERAGE(N352:N353),"")</f>
        <v>0.371010447694838</v>
      </c>
      <c r="O351" s="14"/>
      <c r="P351" s="14" t="s">
        <v>1411</v>
      </c>
      <c r="Q351" s="14" t="s">
        <v>1412</v>
      </c>
    </row>
    <row r="352" customFormat="false" ht="32.8" hidden="false" customHeight="false" outlineLevel="0" collapsed="false">
      <c r="A352" s="6" t="s">
        <v>1413</v>
      </c>
      <c r="B352" s="18" t="s">
        <v>1391</v>
      </c>
      <c r="C352" s="6" t="s">
        <v>109</v>
      </c>
      <c r="E352" s="19" t="s">
        <v>110</v>
      </c>
      <c r="F352" s="20" t="s">
        <v>73</v>
      </c>
      <c r="G352" s="20" t="s">
        <v>74</v>
      </c>
      <c r="H352" s="21" t="n">
        <v>127408</v>
      </c>
      <c r="I352" s="21" t="n">
        <v>83451.38</v>
      </c>
      <c r="J352" s="22" t="n">
        <v>0</v>
      </c>
      <c r="K352" s="23" t="n">
        <v>224930</v>
      </c>
      <c r="L352" s="18" t="s">
        <v>75</v>
      </c>
      <c r="M352" s="24" t="n">
        <v>83451.38</v>
      </c>
      <c r="N352" s="25" t="n">
        <f aca="false">IF(AND(ISNUMBER(J352),ISNUMBER(K352),ISNUMBER(M352),K352&lt;&gt;J352),MAX(0,MIN(1,(M352-J352)/(K352-J352))),"")</f>
        <v>0.371010447694838</v>
      </c>
      <c r="O352" s="26"/>
      <c r="P352" s="6"/>
      <c r="Q352" s="6"/>
    </row>
    <row r="353" customFormat="false" ht="15" hidden="false" customHeight="false" outlineLevel="0" collapsed="false">
      <c r="A353" s="6" t="s">
        <v>1414</v>
      </c>
      <c r="B353" s="18" t="s">
        <v>1391</v>
      </c>
      <c r="C353" s="6" t="s">
        <v>1415</v>
      </c>
      <c r="E353" s="19" t="s">
        <v>97</v>
      </c>
      <c r="F353" s="20" t="s">
        <v>93</v>
      </c>
      <c r="G353" s="20" t="s">
        <v>74</v>
      </c>
      <c r="H353" s="20" t="s">
        <v>97</v>
      </c>
      <c r="I353" s="20" t="s">
        <v>97</v>
      </c>
      <c r="J353" s="22" t="n">
        <v>0</v>
      </c>
      <c r="K353" s="29" t="n">
        <v>100</v>
      </c>
      <c r="L353" s="18" t="s">
        <v>98</v>
      </c>
      <c r="M353" s="30"/>
      <c r="N353" s="25" t="str">
        <f aca="false">IF(AND(ISNUMBER(J353),ISNUMBER(K353),ISNUMBER(M353),K353&lt;&gt;J353),MAX(0,MIN(1,(M353-J353)/(K353-J353))),"")</f>
        <v/>
      </c>
      <c r="O353" s="26"/>
      <c r="P353" s="6"/>
      <c r="Q353" s="6"/>
    </row>
    <row r="354" customFormat="false" ht="24" hidden="false" customHeight="true" outlineLevel="0" collapsed="false">
      <c r="A354" s="35" t="s">
        <v>1416</v>
      </c>
      <c r="B354" s="34"/>
      <c r="C354" s="34"/>
      <c r="D354" s="34"/>
      <c r="E354" s="34"/>
      <c r="F354" s="34"/>
      <c r="G354" s="34"/>
      <c r="H354" s="34"/>
      <c r="I354" s="34"/>
      <c r="J354" s="34"/>
      <c r="K354" s="34"/>
      <c r="L354" s="34"/>
      <c r="M354" s="34"/>
      <c r="N354" s="34"/>
      <c r="O354" s="34"/>
      <c r="P354" s="34"/>
      <c r="Q354" s="34"/>
    </row>
    <row r="355" customFormat="false" ht="55.5" hidden="false" customHeight="true" outlineLevel="0" collapsed="false">
      <c r="A355" s="12" t="s">
        <v>1417</v>
      </c>
      <c r="B355" s="12" t="s">
        <v>1418</v>
      </c>
      <c r="C355" s="13" t="s">
        <v>1419</v>
      </c>
      <c r="D355" s="14" t="s">
        <v>1410</v>
      </c>
      <c r="E355" s="15"/>
      <c r="F355" s="15"/>
      <c r="G355" s="15"/>
      <c r="H355" s="15"/>
      <c r="I355" s="15"/>
      <c r="J355" s="15"/>
      <c r="K355" s="15"/>
      <c r="L355" s="15"/>
      <c r="M355" s="16" t="s">
        <v>66</v>
      </c>
      <c r="N355" s="17" t="str">
        <f aca="false">IFERROR(AVERAGE(N356:N357),"")</f>
        <v/>
      </c>
      <c r="O355" s="14"/>
      <c r="P355" s="14" t="s">
        <v>1420</v>
      </c>
      <c r="Q355" s="14"/>
    </row>
    <row r="356" customFormat="false" ht="22.35" hidden="false" customHeight="false" outlineLevel="0" collapsed="false">
      <c r="A356" s="6" t="s">
        <v>1421</v>
      </c>
      <c r="B356" s="18" t="s">
        <v>1418</v>
      </c>
      <c r="C356" s="6" t="s">
        <v>1422</v>
      </c>
      <c r="E356" s="19" t="s">
        <v>97</v>
      </c>
      <c r="F356" s="20" t="s">
        <v>93</v>
      </c>
      <c r="G356" s="20" t="s">
        <v>74</v>
      </c>
      <c r="H356" s="20" t="s">
        <v>97</v>
      </c>
      <c r="I356" s="20" t="s">
        <v>97</v>
      </c>
      <c r="J356" s="22" t="n">
        <v>0</v>
      </c>
      <c r="K356" s="29" t="n">
        <v>98</v>
      </c>
      <c r="L356" s="18" t="s">
        <v>98</v>
      </c>
      <c r="M356" s="30"/>
      <c r="N356" s="25" t="str">
        <f aca="false">IF(AND(ISNUMBER(J356),ISNUMBER(K356),ISNUMBER(M356),K356&lt;&gt;J356),MAX(0,MIN(1,(M356-J356)/(K356-J356))),"")</f>
        <v/>
      </c>
      <c r="O356" s="26"/>
      <c r="P356" s="6"/>
      <c r="Q356" s="6"/>
    </row>
    <row r="357" customFormat="false" ht="22.35" hidden="false" customHeight="false" outlineLevel="0" collapsed="false">
      <c r="A357" s="6" t="s">
        <v>1423</v>
      </c>
      <c r="B357" s="18" t="s">
        <v>1418</v>
      </c>
      <c r="C357" s="6" t="s">
        <v>1424</v>
      </c>
      <c r="E357" s="19" t="s">
        <v>97</v>
      </c>
      <c r="F357" s="20" t="s">
        <v>79</v>
      </c>
      <c r="G357" s="20" t="s">
        <v>74</v>
      </c>
      <c r="H357" s="20" t="s">
        <v>97</v>
      </c>
      <c r="I357" s="20" t="s">
        <v>97</v>
      </c>
      <c r="J357" s="22" t="n">
        <v>0</v>
      </c>
      <c r="K357" s="29" t="n">
        <v>12</v>
      </c>
      <c r="L357" s="18" t="s">
        <v>98</v>
      </c>
      <c r="M357" s="30"/>
      <c r="N357" s="25" t="str">
        <f aca="false">IF(AND(ISNUMBER(J357),ISNUMBER(K357),ISNUMBER(M357),K357&lt;&gt;J357),MAX(0,MIN(1,(M357-J357)/(K357-J357))),"")</f>
        <v/>
      </c>
      <c r="O357" s="26"/>
      <c r="P357" s="6"/>
      <c r="Q357" s="6"/>
    </row>
    <row r="358" customFormat="false" ht="93" hidden="false" customHeight="true" outlineLevel="0" collapsed="false">
      <c r="A358" s="12" t="s">
        <v>1425</v>
      </c>
      <c r="B358" s="12" t="s">
        <v>1418</v>
      </c>
      <c r="C358" s="13" t="s">
        <v>1426</v>
      </c>
      <c r="D358" s="14" t="s">
        <v>1427</v>
      </c>
      <c r="E358" s="15"/>
      <c r="F358" s="15"/>
      <c r="G358" s="15"/>
      <c r="H358" s="15"/>
      <c r="I358" s="15"/>
      <c r="J358" s="15"/>
      <c r="K358" s="15"/>
      <c r="L358" s="15"/>
      <c r="M358" s="16" t="s">
        <v>66</v>
      </c>
      <c r="N358" s="17" t="str">
        <f aca="false">IFERROR(AVERAGE(N359:N361),"")</f>
        <v/>
      </c>
      <c r="O358" s="14"/>
      <c r="P358" s="14" t="s">
        <v>1428</v>
      </c>
      <c r="Q358" s="14"/>
    </row>
    <row r="359" customFormat="false" ht="22.35" hidden="false" customHeight="false" outlineLevel="0" collapsed="false">
      <c r="A359" s="6" t="s">
        <v>1429</v>
      </c>
      <c r="B359" s="18" t="s">
        <v>1418</v>
      </c>
      <c r="C359" s="6" t="s">
        <v>1430</v>
      </c>
      <c r="E359" s="19" t="s">
        <v>97</v>
      </c>
      <c r="F359" s="20" t="s">
        <v>93</v>
      </c>
      <c r="G359" s="20" t="s">
        <v>74</v>
      </c>
      <c r="H359" s="20" t="s">
        <v>97</v>
      </c>
      <c r="I359" s="20" t="s">
        <v>97</v>
      </c>
      <c r="J359" s="22" t="n">
        <v>0</v>
      </c>
      <c r="K359" s="29" t="n">
        <v>100</v>
      </c>
      <c r="L359" s="18" t="s">
        <v>98</v>
      </c>
      <c r="M359" s="30"/>
      <c r="N359" s="25" t="str">
        <f aca="false">IF(AND(ISNUMBER(J359),ISNUMBER(K359),ISNUMBER(M359),K359&lt;&gt;J359),MAX(0,MIN(1,(M359-J359)/(K359-J359))),"")</f>
        <v/>
      </c>
      <c r="O359" s="26"/>
      <c r="P359" s="6"/>
      <c r="Q359" s="6"/>
    </row>
    <row r="360" customFormat="false" ht="22.35" hidden="false" customHeight="false" outlineLevel="0" collapsed="false">
      <c r="A360" s="6" t="s">
        <v>1431</v>
      </c>
      <c r="B360" s="18" t="s">
        <v>1418</v>
      </c>
      <c r="C360" s="6" t="s">
        <v>1432</v>
      </c>
      <c r="E360" s="19" t="s">
        <v>97</v>
      </c>
      <c r="F360" s="20" t="s">
        <v>93</v>
      </c>
      <c r="G360" s="20" t="s">
        <v>74</v>
      </c>
      <c r="H360" s="20" t="s">
        <v>97</v>
      </c>
      <c r="I360" s="20" t="s">
        <v>97</v>
      </c>
      <c r="J360" s="22" t="n">
        <v>0</v>
      </c>
      <c r="K360" s="29" t="n">
        <v>98</v>
      </c>
      <c r="L360" s="18" t="s">
        <v>98</v>
      </c>
      <c r="M360" s="30"/>
      <c r="N360" s="25" t="str">
        <f aca="false">IF(AND(ISNUMBER(J360),ISNUMBER(K360),ISNUMBER(M360),K360&lt;&gt;J360),MAX(0,MIN(1,(M360-J360)/(K360-J360))),"")</f>
        <v/>
      </c>
      <c r="O360" s="26"/>
      <c r="P360" s="6"/>
      <c r="Q360" s="6"/>
    </row>
    <row r="361" customFormat="false" ht="22.35" hidden="false" customHeight="false" outlineLevel="0" collapsed="false">
      <c r="A361" s="6" t="s">
        <v>1433</v>
      </c>
      <c r="B361" s="18" t="s">
        <v>1418</v>
      </c>
      <c r="C361" s="6" t="s">
        <v>1434</v>
      </c>
      <c r="E361" s="19" t="s">
        <v>97</v>
      </c>
      <c r="F361" s="20" t="s">
        <v>117</v>
      </c>
      <c r="G361" s="20" t="s">
        <v>118</v>
      </c>
      <c r="H361" s="20" t="s">
        <v>97</v>
      </c>
      <c r="I361" s="20" t="s">
        <v>97</v>
      </c>
      <c r="J361" s="20" t="s">
        <v>97</v>
      </c>
      <c r="K361" s="29" t="n">
        <v>60</v>
      </c>
      <c r="L361" s="18" t="s">
        <v>98</v>
      </c>
      <c r="M361" s="30"/>
      <c r="N361" s="25" t="str">
        <f aca="false">IF(AND(ISNUMBER(J361),ISNUMBER(K361),ISNUMBER(M361),K361&lt;&gt;J361),MAX(0,MIN(1,(M361-J361)/(K361-J361))),"")</f>
        <v/>
      </c>
      <c r="O361" s="26"/>
      <c r="P361" s="6"/>
      <c r="Q361" s="6"/>
    </row>
    <row r="362" customFormat="false" ht="93" hidden="false" customHeight="true" outlineLevel="0" collapsed="false">
      <c r="A362" s="12" t="s">
        <v>1435</v>
      </c>
      <c r="B362" s="12" t="s">
        <v>1418</v>
      </c>
      <c r="C362" s="13" t="s">
        <v>1436</v>
      </c>
      <c r="D362" s="14" t="s">
        <v>1410</v>
      </c>
      <c r="E362" s="15"/>
      <c r="F362" s="15"/>
      <c r="G362" s="15"/>
      <c r="H362" s="15"/>
      <c r="I362" s="15"/>
      <c r="J362" s="15"/>
      <c r="K362" s="15"/>
      <c r="L362" s="15"/>
      <c r="M362" s="16" t="s">
        <v>66</v>
      </c>
      <c r="N362" s="17" t="str">
        <f aca="false">IFERROR(AVERAGE(N363:N365),"")</f>
        <v/>
      </c>
      <c r="O362" s="14"/>
      <c r="P362" s="14" t="s">
        <v>1437</v>
      </c>
      <c r="Q362" s="14" t="s">
        <v>1438</v>
      </c>
    </row>
    <row r="363" customFormat="false" ht="22.35" hidden="false" customHeight="false" outlineLevel="0" collapsed="false">
      <c r="A363" s="6" t="s">
        <v>1439</v>
      </c>
      <c r="B363" s="18" t="s">
        <v>1418</v>
      </c>
      <c r="C363" s="6" t="s">
        <v>1440</v>
      </c>
      <c r="E363" s="19" t="s">
        <v>97</v>
      </c>
      <c r="F363" s="20" t="s">
        <v>93</v>
      </c>
      <c r="G363" s="20" t="s">
        <v>74</v>
      </c>
      <c r="H363" s="20" t="s">
        <v>97</v>
      </c>
      <c r="I363" s="20" t="s">
        <v>97</v>
      </c>
      <c r="J363" s="22" t="n">
        <v>0</v>
      </c>
      <c r="K363" s="29" t="n">
        <v>100</v>
      </c>
      <c r="L363" s="18" t="s">
        <v>98</v>
      </c>
      <c r="M363" s="30"/>
      <c r="N363" s="25" t="str">
        <f aca="false">IF(AND(ISNUMBER(J363),ISNUMBER(K363),ISNUMBER(M363),K363&lt;&gt;J363),MAX(0,MIN(1,(M363-J363)/(K363-J363))),"")</f>
        <v/>
      </c>
      <c r="O363" s="26"/>
      <c r="P363" s="6"/>
      <c r="Q363" s="6"/>
    </row>
    <row r="364" customFormat="false" ht="22.35" hidden="false" customHeight="false" outlineLevel="0" collapsed="false">
      <c r="A364" s="6" t="s">
        <v>1441</v>
      </c>
      <c r="B364" s="18" t="s">
        <v>1418</v>
      </c>
      <c r="C364" s="6" t="s">
        <v>1442</v>
      </c>
      <c r="E364" s="19" t="s">
        <v>97</v>
      </c>
      <c r="F364" s="20" t="s">
        <v>93</v>
      </c>
      <c r="G364" s="20" t="s">
        <v>74</v>
      </c>
      <c r="H364" s="20" t="s">
        <v>97</v>
      </c>
      <c r="I364" s="20" t="s">
        <v>97</v>
      </c>
      <c r="J364" s="22" t="n">
        <v>0</v>
      </c>
      <c r="K364" s="29" t="n">
        <v>100</v>
      </c>
      <c r="L364" s="18" t="s">
        <v>98</v>
      </c>
      <c r="M364" s="30"/>
      <c r="N364" s="25" t="str">
        <f aca="false">IF(AND(ISNUMBER(J364),ISNUMBER(K364),ISNUMBER(M364),K364&lt;&gt;J364),MAX(0,MIN(1,(M364-J364)/(K364-J364))),"")</f>
        <v/>
      </c>
      <c r="O364" s="26"/>
      <c r="P364" s="6"/>
      <c r="Q364" s="6"/>
    </row>
    <row r="365" customFormat="false" ht="22.35" hidden="false" customHeight="false" outlineLevel="0" collapsed="false">
      <c r="A365" s="6" t="s">
        <v>1443</v>
      </c>
      <c r="B365" s="18" t="s">
        <v>1418</v>
      </c>
      <c r="C365" s="6" t="s">
        <v>1444</v>
      </c>
      <c r="E365" s="19" t="s">
        <v>97</v>
      </c>
      <c r="F365" s="20" t="s">
        <v>93</v>
      </c>
      <c r="G365" s="20" t="s">
        <v>74</v>
      </c>
      <c r="H365" s="20" t="s">
        <v>97</v>
      </c>
      <c r="I365" s="20" t="s">
        <v>97</v>
      </c>
      <c r="J365" s="22" t="n">
        <v>0</v>
      </c>
      <c r="K365" s="29" t="n">
        <v>100</v>
      </c>
      <c r="L365" s="18" t="s">
        <v>98</v>
      </c>
      <c r="M365" s="30"/>
      <c r="N365" s="25" t="str">
        <f aca="false">IF(AND(ISNUMBER(J365),ISNUMBER(K365),ISNUMBER(M365),K365&lt;&gt;J365),MAX(0,MIN(1,(M365-J365)/(K365-J365))),"")</f>
        <v/>
      </c>
      <c r="O365" s="26"/>
      <c r="P365" s="6"/>
      <c r="Q365" s="6"/>
    </row>
    <row r="366" customFormat="false" ht="24" hidden="false" customHeight="true" outlineLevel="0" collapsed="false">
      <c r="A366" s="35" t="s">
        <v>1445</v>
      </c>
      <c r="B366" s="34"/>
      <c r="C366" s="34"/>
      <c r="D366" s="34"/>
      <c r="E366" s="34"/>
      <c r="F366" s="34"/>
      <c r="G366" s="34"/>
      <c r="H366" s="34"/>
      <c r="I366" s="34"/>
      <c r="J366" s="34"/>
      <c r="K366" s="34"/>
      <c r="L366" s="34"/>
      <c r="M366" s="34"/>
      <c r="N366" s="34"/>
      <c r="O366" s="34"/>
      <c r="P366" s="34"/>
      <c r="Q366" s="34"/>
    </row>
    <row r="367" customFormat="false" ht="68.25" hidden="false" customHeight="true" outlineLevel="0" collapsed="false">
      <c r="A367" s="12" t="s">
        <v>1446</v>
      </c>
      <c r="B367" s="12" t="s">
        <v>1447</v>
      </c>
      <c r="C367" s="13" t="s">
        <v>1448</v>
      </c>
      <c r="D367" s="14" t="s">
        <v>1427</v>
      </c>
      <c r="E367" s="15"/>
      <c r="F367" s="15"/>
      <c r="G367" s="15"/>
      <c r="H367" s="15"/>
      <c r="I367" s="15"/>
      <c r="J367" s="15"/>
      <c r="K367" s="15"/>
      <c r="L367" s="15"/>
      <c r="M367" s="16" t="s">
        <v>66</v>
      </c>
      <c r="N367" s="17" t="n">
        <f aca="false">IFERROR(AVERAGE(N368:N371),"")</f>
        <v>0.109292820109682</v>
      </c>
      <c r="O367" s="14"/>
      <c r="P367" s="14" t="s">
        <v>1449</v>
      </c>
      <c r="Q367" s="14" t="s">
        <v>1450</v>
      </c>
    </row>
    <row r="368" customFormat="false" ht="32.8" hidden="false" customHeight="false" outlineLevel="0" collapsed="false">
      <c r="A368" s="6" t="s">
        <v>1451</v>
      </c>
      <c r="B368" s="18" t="s">
        <v>1447</v>
      </c>
      <c r="C368" s="6" t="s">
        <v>121</v>
      </c>
      <c r="E368" s="19" t="s">
        <v>122</v>
      </c>
      <c r="F368" s="20" t="s">
        <v>73</v>
      </c>
      <c r="G368" s="20" t="s">
        <v>74</v>
      </c>
      <c r="H368" s="21" t="n">
        <v>4857</v>
      </c>
      <c r="I368" s="21" t="n">
        <v>1000</v>
      </c>
      <c r="J368" s="22" t="n">
        <v>0</v>
      </c>
      <c r="K368" s="23" t="n">
        <v>5342.7</v>
      </c>
      <c r="L368" s="18" t="s">
        <v>75</v>
      </c>
      <c r="M368" s="24" t="n">
        <v>1000</v>
      </c>
      <c r="N368" s="25" t="n">
        <f aca="false">IF(AND(ISNUMBER(J368),ISNUMBER(K368),ISNUMBER(M368),K368&lt;&gt;J368),MAX(0,MIN(1,(M368-J368)/(K368-J368))),"")</f>
        <v>0.187171280438729</v>
      </c>
      <c r="O368" s="26"/>
      <c r="P368" s="6"/>
      <c r="Q368" s="6"/>
    </row>
    <row r="369" customFormat="false" ht="43.25" hidden="false" customHeight="false" outlineLevel="0" collapsed="false">
      <c r="A369" s="6" t="s">
        <v>1452</v>
      </c>
      <c r="B369" s="18" t="s">
        <v>1447</v>
      </c>
      <c r="C369" s="6" t="s">
        <v>1453</v>
      </c>
      <c r="E369" s="19" t="s">
        <v>1454</v>
      </c>
      <c r="F369" s="20" t="s">
        <v>73</v>
      </c>
      <c r="G369" s="20" t="s">
        <v>74</v>
      </c>
      <c r="H369" s="20" t="s">
        <v>97</v>
      </c>
      <c r="I369" s="22" t="n">
        <v>200</v>
      </c>
      <c r="J369" s="22" t="n">
        <v>0</v>
      </c>
      <c r="K369" s="29" t="n">
        <v>800</v>
      </c>
      <c r="L369" s="18" t="s">
        <v>1455</v>
      </c>
      <c r="M369" s="27" t="n">
        <v>200</v>
      </c>
      <c r="N369" s="25" t="n">
        <f aca="false">IF(AND(ISNUMBER(J369),ISNUMBER(K369),ISNUMBER(M369),K369&lt;&gt;J369),MAX(0,MIN(1,(M369-J369)/(K369-J369))),"")</f>
        <v>0.25</v>
      </c>
      <c r="O369" s="26"/>
      <c r="P369" s="6"/>
      <c r="Q369" s="6"/>
    </row>
    <row r="370" customFormat="false" ht="23.85" hidden="false" customHeight="false" outlineLevel="0" collapsed="false">
      <c r="A370" s="6" t="s">
        <v>1456</v>
      </c>
      <c r="B370" s="18" t="s">
        <v>1447</v>
      </c>
      <c r="C370" s="6" t="s">
        <v>1457</v>
      </c>
      <c r="E370" s="19" t="s">
        <v>1458</v>
      </c>
      <c r="F370" s="20" t="s">
        <v>93</v>
      </c>
      <c r="G370" s="20" t="s">
        <v>74</v>
      </c>
      <c r="H370" s="22" t="n">
        <v>51.45</v>
      </c>
      <c r="I370" s="22" t="n">
        <v>72.71</v>
      </c>
      <c r="J370" s="22" t="n">
        <v>72.71</v>
      </c>
      <c r="K370" s="28" t="n">
        <v>84</v>
      </c>
      <c r="L370" s="18" t="s">
        <v>119</v>
      </c>
      <c r="M370" s="27" t="n">
        <v>72.71</v>
      </c>
      <c r="N370" s="25" t="n">
        <f aca="false">IF(AND(ISNUMBER(J370),ISNUMBER(K370),ISNUMBER(M370),K370&lt;&gt;J370),MAX(0,MIN(1,(M370-J370)/(K370-J370))),"")</f>
        <v>0</v>
      </c>
      <c r="O370" s="26"/>
      <c r="P370" s="6"/>
      <c r="Q370" s="6"/>
    </row>
    <row r="371" customFormat="false" ht="15" hidden="false" customHeight="false" outlineLevel="0" collapsed="false">
      <c r="A371" s="6" t="s">
        <v>1459</v>
      </c>
      <c r="B371" s="18" t="s">
        <v>1447</v>
      </c>
      <c r="C371" s="6" t="s">
        <v>1460</v>
      </c>
      <c r="E371" s="19" t="s">
        <v>1461</v>
      </c>
      <c r="F371" s="20" t="s">
        <v>93</v>
      </c>
      <c r="G371" s="20" t="s">
        <v>74</v>
      </c>
      <c r="H371" s="22" t="n">
        <v>18</v>
      </c>
      <c r="I371" s="22" t="n">
        <v>22</v>
      </c>
      <c r="J371" s="22" t="n">
        <v>22</v>
      </c>
      <c r="K371" s="29" t="n">
        <v>23.1</v>
      </c>
      <c r="L371" s="18" t="s">
        <v>138</v>
      </c>
      <c r="M371" s="27" t="n">
        <v>22</v>
      </c>
      <c r="N371" s="25" t="n">
        <f aca="false">IF(AND(ISNUMBER(J371),ISNUMBER(K371),ISNUMBER(M371),K371&lt;&gt;J371),MAX(0,MIN(1,(M371-J371)/(K371-J371))),"")</f>
        <v>0</v>
      </c>
      <c r="O371" s="26"/>
      <c r="P371" s="6"/>
      <c r="Q371" s="6"/>
    </row>
    <row r="372" customFormat="false" ht="218.25" hidden="false" customHeight="true" outlineLevel="0" collapsed="false">
      <c r="A372" s="12" t="s">
        <v>1462</v>
      </c>
      <c r="B372" s="12" t="s">
        <v>1447</v>
      </c>
      <c r="C372" s="13" t="s">
        <v>1463</v>
      </c>
      <c r="D372" s="14" t="s">
        <v>1427</v>
      </c>
      <c r="E372" s="15"/>
      <c r="F372" s="15"/>
      <c r="G372" s="15"/>
      <c r="H372" s="15"/>
      <c r="I372" s="15"/>
      <c r="J372" s="15"/>
      <c r="K372" s="15"/>
      <c r="L372" s="15"/>
      <c r="M372" s="16" t="s">
        <v>66</v>
      </c>
      <c r="N372" s="17" t="n">
        <f aca="false">IFERROR(AVERAGE(N373:N377),"")</f>
        <v>0</v>
      </c>
      <c r="O372" s="14"/>
      <c r="P372" s="14" t="s">
        <v>1464</v>
      </c>
      <c r="Q372" s="14" t="s">
        <v>1465</v>
      </c>
    </row>
    <row r="373" customFormat="false" ht="15" hidden="false" customHeight="false" outlineLevel="0" collapsed="false">
      <c r="A373" s="6" t="s">
        <v>1466</v>
      </c>
      <c r="B373" s="18" t="s">
        <v>1447</v>
      </c>
      <c r="C373" s="6" t="s">
        <v>115</v>
      </c>
      <c r="E373" s="19" t="s">
        <v>116</v>
      </c>
      <c r="F373" s="20" t="s">
        <v>117</v>
      </c>
      <c r="G373" s="20" t="s">
        <v>118</v>
      </c>
      <c r="H373" s="20" t="s">
        <v>97</v>
      </c>
      <c r="I373" s="22" t="n">
        <v>80</v>
      </c>
      <c r="J373" s="22" t="n">
        <v>80</v>
      </c>
      <c r="K373" s="28" t="n">
        <v>65</v>
      </c>
      <c r="L373" s="18" t="s">
        <v>119</v>
      </c>
      <c r="M373" s="27" t="n">
        <v>80</v>
      </c>
      <c r="N373" s="25" t="n">
        <f aca="false">IF(AND(ISNUMBER(J373),ISNUMBER(K373),ISNUMBER(M373),K373&lt;&gt;J373),MAX(0,MIN(1,(M373-J373)/(K373-J373))),"")</f>
        <v>-0</v>
      </c>
      <c r="O373" s="26"/>
      <c r="P373" s="6"/>
      <c r="Q373" s="6"/>
    </row>
    <row r="374" customFormat="false" ht="22.35" hidden="false" customHeight="false" outlineLevel="0" collapsed="false">
      <c r="A374" s="6" t="s">
        <v>1467</v>
      </c>
      <c r="B374" s="18" t="s">
        <v>1447</v>
      </c>
      <c r="C374" s="6" t="s">
        <v>444</v>
      </c>
      <c r="E374" s="19" t="s">
        <v>445</v>
      </c>
      <c r="F374" s="20" t="s">
        <v>73</v>
      </c>
      <c r="G374" s="20" t="s">
        <v>118</v>
      </c>
      <c r="H374" s="22" t="n">
        <v>300</v>
      </c>
      <c r="I374" s="21" t="n">
        <v>7926.93</v>
      </c>
      <c r="J374" s="21" t="n">
        <v>7926.93</v>
      </c>
      <c r="K374" s="28" t="n">
        <v>725</v>
      </c>
      <c r="L374" s="18" t="s">
        <v>119</v>
      </c>
      <c r="M374" s="24" t="n">
        <v>7926.93</v>
      </c>
      <c r="N374" s="25" t="n">
        <f aca="false">IF(AND(ISNUMBER(J374),ISNUMBER(K374),ISNUMBER(M374),K374&lt;&gt;J374),MAX(0,MIN(1,(M374-J374)/(K374-J374))),"")</f>
        <v>-0</v>
      </c>
      <c r="O374" s="31" t="s">
        <v>139</v>
      </c>
      <c r="P374" s="6"/>
      <c r="Q374" s="6"/>
    </row>
    <row r="375" customFormat="false" ht="15" hidden="false" customHeight="false" outlineLevel="0" collapsed="false">
      <c r="A375" s="6" t="s">
        <v>1468</v>
      </c>
      <c r="B375" s="18" t="s">
        <v>1447</v>
      </c>
      <c r="C375" s="6" t="s">
        <v>448</v>
      </c>
      <c r="E375" s="19" t="s">
        <v>449</v>
      </c>
      <c r="F375" s="20" t="s">
        <v>93</v>
      </c>
      <c r="G375" s="20" t="s">
        <v>74</v>
      </c>
      <c r="H375" s="22" t="n">
        <v>43.43</v>
      </c>
      <c r="I375" s="22" t="n">
        <v>33.87</v>
      </c>
      <c r="J375" s="22" t="n">
        <v>33.87</v>
      </c>
      <c r="K375" s="28" t="n">
        <v>80</v>
      </c>
      <c r="L375" s="18" t="s">
        <v>119</v>
      </c>
      <c r="M375" s="27" t="n">
        <v>33.87</v>
      </c>
      <c r="N375" s="25" t="n">
        <f aca="false">IF(AND(ISNUMBER(J375),ISNUMBER(K375),ISNUMBER(M375),K375&lt;&gt;J375),MAX(0,MIN(1,(M375-J375)/(K375-J375))),"")</f>
        <v>0</v>
      </c>
      <c r="O375" s="26"/>
      <c r="P375" s="6"/>
      <c r="Q375" s="6"/>
    </row>
    <row r="376" customFormat="false" ht="23.85" hidden="false" customHeight="false" outlineLevel="0" collapsed="false">
      <c r="A376" s="6" t="s">
        <v>1469</v>
      </c>
      <c r="B376" s="18" t="s">
        <v>1447</v>
      </c>
      <c r="C376" s="6" t="s">
        <v>454</v>
      </c>
      <c r="E376" s="19" t="s">
        <v>455</v>
      </c>
      <c r="F376" s="20" t="s">
        <v>93</v>
      </c>
      <c r="G376" s="20" t="s">
        <v>74</v>
      </c>
      <c r="H376" s="20" t="s">
        <v>97</v>
      </c>
      <c r="I376" s="22" t="n">
        <v>100</v>
      </c>
      <c r="J376" s="22" t="n">
        <v>100</v>
      </c>
      <c r="K376" s="28" t="n">
        <v>100</v>
      </c>
      <c r="L376" s="18" t="s">
        <v>405</v>
      </c>
      <c r="M376" s="27" t="n">
        <v>100</v>
      </c>
      <c r="N376" s="25" t="str">
        <f aca="false">IF(AND(ISNUMBER(J376),ISNUMBER(K376),ISNUMBER(M376),K376&lt;&gt;J376),MAX(0,MIN(1,(M376-J376)/(K376-J376))),"")</f>
        <v/>
      </c>
      <c r="O376" s="31" t="s">
        <v>456</v>
      </c>
      <c r="P376" s="6"/>
      <c r="Q376" s="6"/>
    </row>
    <row r="377" customFormat="false" ht="15" hidden="false" customHeight="false" outlineLevel="0" collapsed="false">
      <c r="A377" s="6" t="s">
        <v>1470</v>
      </c>
      <c r="B377" s="18" t="s">
        <v>1447</v>
      </c>
      <c r="C377" s="6" t="s">
        <v>1471</v>
      </c>
      <c r="E377" s="19" t="s">
        <v>1472</v>
      </c>
      <c r="F377" s="20" t="s">
        <v>93</v>
      </c>
      <c r="G377" s="20" t="s">
        <v>74</v>
      </c>
      <c r="H377" s="22" t="n">
        <v>50</v>
      </c>
      <c r="I377" s="22" t="n">
        <v>100</v>
      </c>
      <c r="J377" s="22" t="n">
        <v>100</v>
      </c>
      <c r="K377" s="28" t="n">
        <v>100</v>
      </c>
      <c r="L377" s="18" t="s">
        <v>405</v>
      </c>
      <c r="M377" s="27" t="n">
        <v>100</v>
      </c>
      <c r="N377" s="25" t="str">
        <f aca="false">IF(AND(ISNUMBER(J377),ISNUMBER(K377),ISNUMBER(M377),K377&lt;&gt;J377),MAX(0,MIN(1,(M377-J377)/(K377-J377))),"")</f>
        <v/>
      </c>
      <c r="O377" s="26"/>
      <c r="P377" s="6"/>
      <c r="Q377" s="6"/>
    </row>
    <row r="378" customFormat="false" ht="105.75" hidden="false" customHeight="true" outlineLevel="0" collapsed="false">
      <c r="A378" s="12" t="s">
        <v>1473</v>
      </c>
      <c r="B378" s="12" t="s">
        <v>1447</v>
      </c>
      <c r="C378" s="13" t="s">
        <v>1474</v>
      </c>
      <c r="D378" s="14" t="s">
        <v>1410</v>
      </c>
      <c r="E378" s="15"/>
      <c r="F378" s="15"/>
      <c r="G378" s="15"/>
      <c r="H378" s="15"/>
      <c r="I378" s="15"/>
      <c r="J378" s="15"/>
      <c r="K378" s="15"/>
      <c r="L378" s="15"/>
      <c r="M378" s="16" t="s">
        <v>66</v>
      </c>
      <c r="N378" s="17" t="str">
        <f aca="false">IFERROR(AVERAGE(N379:N381),"")</f>
        <v/>
      </c>
      <c r="O378" s="14"/>
      <c r="P378" s="14" t="s">
        <v>1475</v>
      </c>
      <c r="Q378" s="14"/>
    </row>
    <row r="379" customFormat="false" ht="15" hidden="false" customHeight="false" outlineLevel="0" collapsed="false">
      <c r="A379" s="6" t="s">
        <v>1476</v>
      </c>
      <c r="B379" s="18" t="s">
        <v>1447</v>
      </c>
      <c r="C379" s="6" t="s">
        <v>1477</v>
      </c>
      <c r="E379" s="19" t="s">
        <v>97</v>
      </c>
      <c r="F379" s="20" t="s">
        <v>93</v>
      </c>
      <c r="G379" s="20" t="s">
        <v>74</v>
      </c>
      <c r="H379" s="20" t="s">
        <v>97</v>
      </c>
      <c r="I379" s="20" t="s">
        <v>97</v>
      </c>
      <c r="J379" s="22" t="n">
        <v>0</v>
      </c>
      <c r="K379" s="29" t="n">
        <v>100</v>
      </c>
      <c r="L379" s="18" t="s">
        <v>98</v>
      </c>
      <c r="M379" s="30"/>
      <c r="N379" s="25" t="str">
        <f aca="false">IF(AND(ISNUMBER(J379),ISNUMBER(K379),ISNUMBER(M379),K379&lt;&gt;J379),MAX(0,MIN(1,(M379-J379)/(K379-J379))),"")</f>
        <v/>
      </c>
      <c r="O379" s="26"/>
      <c r="P379" s="6"/>
      <c r="Q379" s="6"/>
    </row>
    <row r="380" customFormat="false" ht="15" hidden="false" customHeight="false" outlineLevel="0" collapsed="false">
      <c r="A380" s="6" t="s">
        <v>1478</v>
      </c>
      <c r="B380" s="18" t="s">
        <v>1447</v>
      </c>
      <c r="C380" s="6" t="s">
        <v>1479</v>
      </c>
      <c r="E380" s="19" t="s">
        <v>97</v>
      </c>
      <c r="F380" s="20" t="s">
        <v>93</v>
      </c>
      <c r="G380" s="20" t="s">
        <v>74</v>
      </c>
      <c r="H380" s="20" t="s">
        <v>97</v>
      </c>
      <c r="I380" s="20" t="s">
        <v>97</v>
      </c>
      <c r="J380" s="22" t="n">
        <v>0</v>
      </c>
      <c r="K380" s="29" t="n">
        <v>100</v>
      </c>
      <c r="L380" s="18" t="s">
        <v>98</v>
      </c>
      <c r="M380" s="30"/>
      <c r="N380" s="25" t="str">
        <f aca="false">IF(AND(ISNUMBER(J380),ISNUMBER(K380),ISNUMBER(M380),K380&lt;&gt;J380),MAX(0,MIN(1,(M380-J380)/(K380-J380))),"")</f>
        <v/>
      </c>
      <c r="O380" s="26"/>
      <c r="P380" s="6"/>
      <c r="Q380" s="6"/>
    </row>
    <row r="381" customFormat="false" ht="15" hidden="false" customHeight="false" outlineLevel="0" collapsed="false">
      <c r="A381" s="6" t="s">
        <v>1480</v>
      </c>
      <c r="B381" s="18" t="s">
        <v>1447</v>
      </c>
      <c r="C381" s="6" t="s">
        <v>1481</v>
      </c>
      <c r="E381" s="19" t="s">
        <v>97</v>
      </c>
      <c r="F381" s="20" t="s">
        <v>93</v>
      </c>
      <c r="G381" s="20" t="s">
        <v>74</v>
      </c>
      <c r="H381" s="20" t="s">
        <v>97</v>
      </c>
      <c r="I381" s="20" t="s">
        <v>97</v>
      </c>
      <c r="J381" s="22" t="n">
        <v>0</v>
      </c>
      <c r="K381" s="29" t="n">
        <v>100</v>
      </c>
      <c r="L381" s="18" t="s">
        <v>98</v>
      </c>
      <c r="M381" s="30"/>
      <c r="N381" s="25" t="str">
        <f aca="false">IF(AND(ISNUMBER(J381),ISNUMBER(K381),ISNUMBER(M381),K381&lt;&gt;J381),MAX(0,MIN(1,(M381-J381)/(K381-J381))),"")</f>
        <v/>
      </c>
      <c r="O381" s="26"/>
      <c r="P381" s="6"/>
      <c r="Q381" s="6"/>
    </row>
    <row r="382" customFormat="false" ht="81" hidden="false" customHeight="true" outlineLevel="0" collapsed="false">
      <c r="A382" s="12" t="s">
        <v>1482</v>
      </c>
      <c r="B382" s="12" t="s">
        <v>1447</v>
      </c>
      <c r="C382" s="13" t="s">
        <v>1483</v>
      </c>
      <c r="D382" s="14" t="s">
        <v>1410</v>
      </c>
      <c r="E382" s="15"/>
      <c r="F382" s="15"/>
      <c r="G382" s="15"/>
      <c r="H382" s="15"/>
      <c r="I382" s="15"/>
      <c r="J382" s="15"/>
      <c r="K382" s="15"/>
      <c r="L382" s="15"/>
      <c r="M382" s="16" t="s">
        <v>66</v>
      </c>
      <c r="N382" s="17" t="n">
        <f aca="false">IFERROR(AVERAGE(N383:N385),"")</f>
        <v>0</v>
      </c>
      <c r="O382" s="14"/>
      <c r="P382" s="14" t="s">
        <v>1484</v>
      </c>
      <c r="Q382" s="14" t="s">
        <v>607</v>
      </c>
    </row>
    <row r="383" customFormat="false" ht="23.85" hidden="false" customHeight="false" outlineLevel="0" collapsed="false">
      <c r="A383" s="6" t="s">
        <v>1485</v>
      </c>
      <c r="B383" s="18" t="s">
        <v>1447</v>
      </c>
      <c r="C383" s="6" t="s">
        <v>1486</v>
      </c>
      <c r="E383" s="19" t="s">
        <v>1487</v>
      </c>
      <c r="F383" s="20" t="s">
        <v>93</v>
      </c>
      <c r="G383" s="20" t="s">
        <v>74</v>
      </c>
      <c r="H383" s="20" t="s">
        <v>97</v>
      </c>
      <c r="I383" s="22" t="n">
        <v>70</v>
      </c>
      <c r="J383" s="22" t="n">
        <v>70</v>
      </c>
      <c r="K383" s="28" t="n">
        <v>85</v>
      </c>
      <c r="L383" s="18" t="s">
        <v>119</v>
      </c>
      <c r="M383" s="27" t="n">
        <v>70</v>
      </c>
      <c r="N383" s="25" t="n">
        <f aca="false">IF(AND(ISNUMBER(J383),ISNUMBER(K383),ISNUMBER(M383),K383&lt;&gt;J383),MAX(0,MIN(1,(M383-J383)/(K383-J383))),"")</f>
        <v>0</v>
      </c>
      <c r="O383" s="26"/>
      <c r="P383" s="6"/>
      <c r="Q383" s="6"/>
    </row>
    <row r="384" customFormat="false" ht="15" hidden="false" customHeight="false" outlineLevel="0" collapsed="false">
      <c r="A384" s="6" t="s">
        <v>1488</v>
      </c>
      <c r="B384" s="18" t="s">
        <v>1447</v>
      </c>
      <c r="C384" s="6" t="s">
        <v>1489</v>
      </c>
      <c r="E384" s="19" t="s">
        <v>97</v>
      </c>
      <c r="F384" s="20" t="s">
        <v>93</v>
      </c>
      <c r="G384" s="20" t="s">
        <v>74</v>
      </c>
      <c r="H384" s="20" t="s">
        <v>97</v>
      </c>
      <c r="I384" s="20" t="s">
        <v>97</v>
      </c>
      <c r="J384" s="22" t="n">
        <v>0</v>
      </c>
      <c r="K384" s="29" t="n">
        <v>100</v>
      </c>
      <c r="L384" s="18" t="s">
        <v>98</v>
      </c>
      <c r="M384" s="30"/>
      <c r="N384" s="25" t="str">
        <f aca="false">IF(AND(ISNUMBER(J384),ISNUMBER(K384),ISNUMBER(M384),K384&lt;&gt;J384),MAX(0,MIN(1,(M384-J384)/(K384-J384))),"")</f>
        <v/>
      </c>
      <c r="O384" s="26"/>
      <c r="P384" s="6"/>
      <c r="Q384" s="6"/>
    </row>
    <row r="385" customFormat="false" ht="15" hidden="false" customHeight="false" outlineLevel="0" collapsed="false">
      <c r="A385" s="6" t="s">
        <v>1490</v>
      </c>
      <c r="B385" s="18" t="s">
        <v>1447</v>
      </c>
      <c r="C385" s="6" t="s">
        <v>1491</v>
      </c>
      <c r="E385" s="19" t="s">
        <v>97</v>
      </c>
      <c r="F385" s="20" t="s">
        <v>93</v>
      </c>
      <c r="G385" s="20" t="s">
        <v>74</v>
      </c>
      <c r="H385" s="20" t="s">
        <v>97</v>
      </c>
      <c r="I385" s="20" t="s">
        <v>97</v>
      </c>
      <c r="J385" s="22" t="n">
        <v>0</v>
      </c>
      <c r="K385" s="29" t="n">
        <v>100</v>
      </c>
      <c r="L385" s="18" t="s">
        <v>98</v>
      </c>
      <c r="M385" s="30"/>
      <c r="N385" s="25" t="str">
        <f aca="false">IF(AND(ISNUMBER(J385),ISNUMBER(K385),ISNUMBER(M385),K385&lt;&gt;J385),MAX(0,MIN(1,(M385-J385)/(K385-J385))),"")</f>
        <v/>
      </c>
      <c r="O385" s="26"/>
      <c r="P385" s="6"/>
      <c r="Q385" s="6"/>
    </row>
    <row r="386" customFormat="false" ht="24" hidden="false" customHeight="true" outlineLevel="0" collapsed="false">
      <c r="A386" s="35" t="s">
        <v>1492</v>
      </c>
      <c r="B386" s="34"/>
      <c r="C386" s="34"/>
      <c r="D386" s="34"/>
      <c r="E386" s="34"/>
      <c r="F386" s="34"/>
      <c r="G386" s="34"/>
      <c r="H386" s="34"/>
      <c r="I386" s="34"/>
      <c r="J386" s="34"/>
      <c r="K386" s="34"/>
      <c r="L386" s="34"/>
      <c r="M386" s="34"/>
      <c r="N386" s="34"/>
      <c r="O386" s="34"/>
      <c r="P386" s="34"/>
      <c r="Q386" s="34"/>
    </row>
    <row r="387" customFormat="false" ht="81" hidden="false" customHeight="true" outlineLevel="0" collapsed="false">
      <c r="A387" s="12" t="s">
        <v>1493</v>
      </c>
      <c r="B387" s="12" t="s">
        <v>1494</v>
      </c>
      <c r="C387" s="13" t="s">
        <v>1495</v>
      </c>
      <c r="D387" s="14" t="s">
        <v>1496</v>
      </c>
      <c r="E387" s="15"/>
      <c r="F387" s="15"/>
      <c r="G387" s="15"/>
      <c r="H387" s="15"/>
      <c r="I387" s="15"/>
      <c r="J387" s="15"/>
      <c r="K387" s="15"/>
      <c r="L387" s="15"/>
      <c r="M387" s="16" t="s">
        <v>66</v>
      </c>
      <c r="N387" s="17" t="str">
        <f aca="false">IFERROR(AVERAGE(N388:N389),"")</f>
        <v/>
      </c>
      <c r="O387" s="14"/>
      <c r="P387" s="14" t="s">
        <v>1497</v>
      </c>
      <c r="Q387" s="14" t="s">
        <v>1498</v>
      </c>
    </row>
    <row r="388" customFormat="false" ht="15" hidden="false" customHeight="false" outlineLevel="0" collapsed="false">
      <c r="A388" s="6" t="s">
        <v>1499</v>
      </c>
      <c r="B388" s="18" t="s">
        <v>1494</v>
      </c>
      <c r="C388" s="6" t="s">
        <v>1500</v>
      </c>
      <c r="E388" s="19" t="s">
        <v>97</v>
      </c>
      <c r="F388" s="20" t="s">
        <v>93</v>
      </c>
      <c r="G388" s="20" t="s">
        <v>74</v>
      </c>
      <c r="H388" s="20" t="s">
        <v>97</v>
      </c>
      <c r="I388" s="20" t="s">
        <v>97</v>
      </c>
      <c r="J388" s="22" t="n">
        <v>0</v>
      </c>
      <c r="K388" s="29" t="n">
        <v>99</v>
      </c>
      <c r="L388" s="18" t="s">
        <v>98</v>
      </c>
      <c r="M388" s="30"/>
      <c r="N388" s="25" t="str">
        <f aca="false">IF(AND(ISNUMBER(J388),ISNUMBER(K388),ISNUMBER(M388),K388&lt;&gt;J388),MAX(0,MIN(1,(M388-J388)/(K388-J388))),"")</f>
        <v/>
      </c>
      <c r="O388" s="26"/>
      <c r="P388" s="6"/>
      <c r="Q388" s="6"/>
    </row>
    <row r="389" customFormat="false" ht="15" hidden="false" customHeight="false" outlineLevel="0" collapsed="false">
      <c r="A389" s="6" t="s">
        <v>1501</v>
      </c>
      <c r="B389" s="18" t="s">
        <v>1494</v>
      </c>
      <c r="C389" s="6" t="s">
        <v>1502</v>
      </c>
      <c r="E389" s="19" t="s">
        <v>97</v>
      </c>
      <c r="F389" s="20" t="s">
        <v>93</v>
      </c>
      <c r="G389" s="20" t="s">
        <v>74</v>
      </c>
      <c r="H389" s="20" t="s">
        <v>97</v>
      </c>
      <c r="I389" s="20" t="s">
        <v>97</v>
      </c>
      <c r="J389" s="22" t="n">
        <v>0</v>
      </c>
      <c r="K389" s="29" t="n">
        <v>100</v>
      </c>
      <c r="L389" s="18" t="s">
        <v>98</v>
      </c>
      <c r="M389" s="30"/>
      <c r="N389" s="25" t="str">
        <f aca="false">IF(AND(ISNUMBER(J389),ISNUMBER(K389),ISNUMBER(M389),K389&lt;&gt;J389),MAX(0,MIN(1,(M389-J389)/(K389-J389))),"")</f>
        <v/>
      </c>
      <c r="O389" s="26"/>
      <c r="P389" s="6"/>
      <c r="Q389" s="6"/>
    </row>
    <row r="390" customFormat="false" ht="45" hidden="false" customHeight="true" outlineLevel="0" collapsed="false">
      <c r="A390" s="12" t="s">
        <v>1503</v>
      </c>
      <c r="B390" s="12" t="s">
        <v>1494</v>
      </c>
      <c r="C390" s="13" t="s">
        <v>1504</v>
      </c>
      <c r="D390" s="14" t="s">
        <v>1496</v>
      </c>
      <c r="E390" s="15"/>
      <c r="F390" s="15"/>
      <c r="G390" s="15"/>
      <c r="H390" s="15"/>
      <c r="I390" s="15"/>
      <c r="J390" s="15"/>
      <c r="K390" s="15"/>
      <c r="L390" s="15"/>
      <c r="M390" s="16" t="s">
        <v>66</v>
      </c>
      <c r="N390" s="17" t="n">
        <f aca="false">IFERROR(AVERAGE(N391:N393),"")</f>
        <v>0</v>
      </c>
      <c r="O390" s="14"/>
      <c r="P390" s="14" t="s">
        <v>1505</v>
      </c>
      <c r="Q390" s="14"/>
    </row>
    <row r="391" customFormat="false" ht="22.35" hidden="false" customHeight="false" outlineLevel="0" collapsed="false">
      <c r="A391" s="6" t="s">
        <v>1506</v>
      </c>
      <c r="B391" s="18" t="s">
        <v>1494</v>
      </c>
      <c r="C391" s="6" t="s">
        <v>1507</v>
      </c>
      <c r="E391" s="19" t="s">
        <v>1508</v>
      </c>
      <c r="F391" s="20" t="s">
        <v>79</v>
      </c>
      <c r="G391" s="20" t="s">
        <v>118</v>
      </c>
      <c r="H391" s="21" t="n">
        <v>1002</v>
      </c>
      <c r="I391" s="22" t="n">
        <v>421</v>
      </c>
      <c r="J391" s="22" t="n">
        <v>421</v>
      </c>
      <c r="K391" s="28" t="n">
        <v>390</v>
      </c>
      <c r="L391" s="18" t="s">
        <v>119</v>
      </c>
      <c r="M391" s="27" t="n">
        <v>421</v>
      </c>
      <c r="N391" s="25" t="n">
        <f aca="false">IF(AND(ISNUMBER(J391),ISNUMBER(K391),ISNUMBER(M391),K391&lt;&gt;J391),MAX(0,MIN(1,(M391-J391)/(K391-J391))),"")</f>
        <v>-0</v>
      </c>
      <c r="O391" s="31" t="s">
        <v>139</v>
      </c>
      <c r="P391" s="6"/>
      <c r="Q391" s="6"/>
    </row>
    <row r="392" customFormat="false" ht="15" hidden="false" customHeight="false" outlineLevel="0" collapsed="false">
      <c r="A392" s="6" t="s">
        <v>1509</v>
      </c>
      <c r="B392" s="18" t="s">
        <v>1494</v>
      </c>
      <c r="C392" s="6" t="s">
        <v>1510</v>
      </c>
      <c r="E392" s="19" t="s">
        <v>97</v>
      </c>
      <c r="F392" s="20" t="s">
        <v>93</v>
      </c>
      <c r="G392" s="20" t="s">
        <v>74</v>
      </c>
      <c r="H392" s="20" t="s">
        <v>97</v>
      </c>
      <c r="I392" s="20" t="s">
        <v>97</v>
      </c>
      <c r="J392" s="22" t="n">
        <v>0</v>
      </c>
      <c r="K392" s="29" t="n">
        <v>100</v>
      </c>
      <c r="L392" s="18" t="s">
        <v>98</v>
      </c>
      <c r="M392" s="30"/>
      <c r="N392" s="25" t="str">
        <f aca="false">IF(AND(ISNUMBER(J392),ISNUMBER(K392),ISNUMBER(M392),K392&lt;&gt;J392),MAX(0,MIN(1,(M392-J392)/(K392-J392))),"")</f>
        <v/>
      </c>
      <c r="O392" s="26"/>
      <c r="P392" s="6"/>
      <c r="Q392" s="6"/>
    </row>
    <row r="393" customFormat="false" ht="15" hidden="false" customHeight="false" outlineLevel="0" collapsed="false">
      <c r="A393" s="6" t="s">
        <v>1511</v>
      </c>
      <c r="B393" s="18" t="s">
        <v>1494</v>
      </c>
      <c r="C393" s="6" t="s">
        <v>1512</v>
      </c>
      <c r="E393" s="19" t="s">
        <v>97</v>
      </c>
      <c r="F393" s="20" t="s">
        <v>93</v>
      </c>
      <c r="G393" s="20" t="s">
        <v>74</v>
      </c>
      <c r="H393" s="20" t="s">
        <v>97</v>
      </c>
      <c r="I393" s="20" t="s">
        <v>97</v>
      </c>
      <c r="J393" s="22" t="n">
        <v>0</v>
      </c>
      <c r="K393" s="29" t="n">
        <v>100</v>
      </c>
      <c r="L393" s="18" t="s">
        <v>98</v>
      </c>
      <c r="M393" s="30"/>
      <c r="N393" s="25" t="str">
        <f aca="false">IF(AND(ISNUMBER(J393),ISNUMBER(K393),ISNUMBER(M393),K393&lt;&gt;J393),MAX(0,MIN(1,(M393-J393)/(K393-J393))),"")</f>
        <v/>
      </c>
      <c r="O393" s="26"/>
      <c r="P393" s="6"/>
      <c r="Q393" s="6"/>
    </row>
    <row r="394" customFormat="false" ht="45" hidden="false" customHeight="true" outlineLevel="0" collapsed="false">
      <c r="A394" s="12" t="s">
        <v>1513</v>
      </c>
      <c r="B394" s="12" t="s">
        <v>1494</v>
      </c>
      <c r="C394" s="13" t="s">
        <v>1514</v>
      </c>
      <c r="D394" s="14" t="s">
        <v>1515</v>
      </c>
      <c r="E394" s="15"/>
      <c r="F394" s="15"/>
      <c r="G394" s="15"/>
      <c r="H394" s="15"/>
      <c r="I394" s="15"/>
      <c r="J394" s="15"/>
      <c r="K394" s="15"/>
      <c r="L394" s="15"/>
      <c r="M394" s="16" t="s">
        <v>66</v>
      </c>
      <c r="N394" s="17" t="str">
        <f aca="false">IFERROR(AVERAGE(N395:N396),"")</f>
        <v/>
      </c>
      <c r="O394" s="14"/>
      <c r="P394" s="14" t="s">
        <v>1516</v>
      </c>
      <c r="Q394" s="14"/>
    </row>
    <row r="395" customFormat="false" ht="15" hidden="false" customHeight="false" outlineLevel="0" collapsed="false">
      <c r="A395" s="6" t="s">
        <v>1517</v>
      </c>
      <c r="B395" s="18" t="s">
        <v>1494</v>
      </c>
      <c r="C395" s="6" t="s">
        <v>1518</v>
      </c>
      <c r="E395" s="19" t="s">
        <v>97</v>
      </c>
      <c r="F395" s="20" t="s">
        <v>93</v>
      </c>
      <c r="G395" s="20" t="s">
        <v>74</v>
      </c>
      <c r="H395" s="20" t="s">
        <v>97</v>
      </c>
      <c r="I395" s="20" t="s">
        <v>97</v>
      </c>
      <c r="J395" s="22" t="n">
        <v>0</v>
      </c>
      <c r="K395" s="29" t="n">
        <v>100</v>
      </c>
      <c r="L395" s="18" t="s">
        <v>98</v>
      </c>
      <c r="M395" s="30"/>
      <c r="N395" s="25" t="str">
        <f aca="false">IF(AND(ISNUMBER(J395),ISNUMBER(K395),ISNUMBER(M395),K395&lt;&gt;J395),MAX(0,MIN(1,(M395-J395)/(K395-J395))),"")</f>
        <v/>
      </c>
      <c r="O395" s="26"/>
      <c r="P395" s="6"/>
      <c r="Q395" s="6"/>
    </row>
    <row r="396" customFormat="false" ht="15" hidden="false" customHeight="false" outlineLevel="0" collapsed="false">
      <c r="A396" s="6" t="s">
        <v>1519</v>
      </c>
      <c r="B396" s="18" t="s">
        <v>1494</v>
      </c>
      <c r="C396" s="6" t="s">
        <v>1520</v>
      </c>
      <c r="E396" s="19" t="s">
        <v>97</v>
      </c>
      <c r="F396" s="20" t="s">
        <v>79</v>
      </c>
      <c r="G396" s="20" t="s">
        <v>74</v>
      </c>
      <c r="H396" s="20" t="s">
        <v>97</v>
      </c>
      <c r="I396" s="20" t="s">
        <v>97</v>
      </c>
      <c r="J396" s="22" t="n">
        <v>0</v>
      </c>
      <c r="K396" s="29" t="n">
        <v>3</v>
      </c>
      <c r="L396" s="18" t="s">
        <v>98</v>
      </c>
      <c r="M396" s="30"/>
      <c r="N396" s="25" t="str">
        <f aca="false">IF(AND(ISNUMBER(J396),ISNUMBER(K396),ISNUMBER(M396),K396&lt;&gt;J396),MAX(0,MIN(1,(M396-J396)/(K396-J396))),"")</f>
        <v/>
      </c>
      <c r="O396" s="26"/>
      <c r="P396" s="6"/>
      <c r="Q396" s="6"/>
    </row>
    <row r="397" customFormat="false" ht="24" hidden="false" customHeight="true" outlineLevel="0" collapsed="false">
      <c r="A397" s="35" t="s">
        <v>1521</v>
      </c>
      <c r="B397" s="34"/>
      <c r="C397" s="34"/>
      <c r="D397" s="34"/>
      <c r="E397" s="34"/>
      <c r="F397" s="34"/>
      <c r="G397" s="34"/>
      <c r="H397" s="34"/>
      <c r="I397" s="34"/>
      <c r="J397" s="34"/>
      <c r="K397" s="34"/>
      <c r="L397" s="34"/>
      <c r="M397" s="34"/>
      <c r="N397" s="34"/>
      <c r="O397" s="34"/>
      <c r="P397" s="34"/>
      <c r="Q397" s="34"/>
    </row>
    <row r="398" customFormat="false" ht="55.5" hidden="false" customHeight="true" outlineLevel="0" collapsed="false">
      <c r="A398" s="12" t="s">
        <v>1522</v>
      </c>
      <c r="B398" s="12" t="s">
        <v>1523</v>
      </c>
      <c r="C398" s="13" t="s">
        <v>1524</v>
      </c>
      <c r="D398" s="14" t="s">
        <v>1515</v>
      </c>
      <c r="E398" s="15"/>
      <c r="F398" s="15"/>
      <c r="G398" s="15"/>
      <c r="H398" s="15"/>
      <c r="I398" s="15"/>
      <c r="J398" s="15"/>
      <c r="K398" s="15"/>
      <c r="L398" s="15"/>
      <c r="M398" s="16" t="s">
        <v>66</v>
      </c>
      <c r="N398" s="17" t="str">
        <f aca="false">IFERROR(AVERAGE(N399:N400),"")</f>
        <v/>
      </c>
      <c r="O398" s="14"/>
      <c r="P398" s="14" t="s">
        <v>1525</v>
      </c>
      <c r="Q398" s="14"/>
    </row>
    <row r="399" customFormat="false" ht="22.35" hidden="false" customHeight="false" outlineLevel="0" collapsed="false">
      <c r="A399" s="6" t="s">
        <v>1526</v>
      </c>
      <c r="B399" s="18" t="s">
        <v>1523</v>
      </c>
      <c r="C399" s="6" t="s">
        <v>1527</v>
      </c>
      <c r="E399" s="19" t="s">
        <v>97</v>
      </c>
      <c r="F399" s="20" t="s">
        <v>93</v>
      </c>
      <c r="G399" s="20" t="s">
        <v>74</v>
      </c>
      <c r="H399" s="20" t="s">
        <v>97</v>
      </c>
      <c r="I399" s="20" t="s">
        <v>97</v>
      </c>
      <c r="J399" s="22" t="n">
        <v>0</v>
      </c>
      <c r="K399" s="29" t="n">
        <v>100</v>
      </c>
      <c r="L399" s="18" t="s">
        <v>98</v>
      </c>
      <c r="M399" s="30"/>
      <c r="N399" s="25" t="str">
        <f aca="false">IF(AND(ISNUMBER(J399),ISNUMBER(K399),ISNUMBER(M399),K399&lt;&gt;J399),MAX(0,MIN(1,(M399-J399)/(K399-J399))),"")</f>
        <v/>
      </c>
      <c r="O399" s="26"/>
      <c r="P399" s="6"/>
      <c r="Q399" s="6"/>
    </row>
    <row r="400" customFormat="false" ht="22.35" hidden="false" customHeight="false" outlineLevel="0" collapsed="false">
      <c r="A400" s="6" t="s">
        <v>1528</v>
      </c>
      <c r="B400" s="18" t="s">
        <v>1523</v>
      </c>
      <c r="C400" s="6" t="s">
        <v>1529</v>
      </c>
      <c r="E400" s="19" t="s">
        <v>97</v>
      </c>
      <c r="F400" s="20" t="s">
        <v>93</v>
      </c>
      <c r="G400" s="20" t="s">
        <v>74</v>
      </c>
      <c r="H400" s="20" t="s">
        <v>97</v>
      </c>
      <c r="I400" s="20" t="s">
        <v>97</v>
      </c>
      <c r="J400" s="22" t="n">
        <v>0</v>
      </c>
      <c r="K400" s="29" t="n">
        <v>100</v>
      </c>
      <c r="L400" s="18" t="s">
        <v>98</v>
      </c>
      <c r="M400" s="30"/>
      <c r="N400" s="25" t="str">
        <f aca="false">IF(AND(ISNUMBER(J400),ISNUMBER(K400),ISNUMBER(M400),K400&lt;&gt;J400),MAX(0,MIN(1,(M400-J400)/(K400-J400))),"")</f>
        <v/>
      </c>
      <c r="O400" s="26"/>
      <c r="P400" s="6"/>
      <c r="Q400" s="6"/>
    </row>
    <row r="401" customFormat="false" ht="68.25" hidden="false" customHeight="true" outlineLevel="0" collapsed="false">
      <c r="A401" s="12" t="s">
        <v>1530</v>
      </c>
      <c r="B401" s="12" t="s">
        <v>1523</v>
      </c>
      <c r="C401" s="13" t="s">
        <v>1531</v>
      </c>
      <c r="D401" s="14" t="s">
        <v>1515</v>
      </c>
      <c r="E401" s="15"/>
      <c r="F401" s="15"/>
      <c r="G401" s="15"/>
      <c r="H401" s="15"/>
      <c r="I401" s="15"/>
      <c r="J401" s="15"/>
      <c r="K401" s="15"/>
      <c r="L401" s="15"/>
      <c r="M401" s="16" t="s">
        <v>66</v>
      </c>
      <c r="N401" s="17" t="str">
        <f aca="false">IFERROR(AVERAGE(N402:N403),"")</f>
        <v/>
      </c>
      <c r="O401" s="14"/>
      <c r="P401" s="14" t="s">
        <v>1532</v>
      </c>
      <c r="Q401" s="14"/>
    </row>
    <row r="402" customFormat="false" ht="22.35" hidden="false" customHeight="false" outlineLevel="0" collapsed="false">
      <c r="A402" s="6" t="s">
        <v>1533</v>
      </c>
      <c r="B402" s="18" t="s">
        <v>1523</v>
      </c>
      <c r="C402" s="6" t="s">
        <v>1534</v>
      </c>
      <c r="E402" s="19" t="s">
        <v>97</v>
      </c>
      <c r="F402" s="20" t="s">
        <v>93</v>
      </c>
      <c r="G402" s="20" t="s">
        <v>74</v>
      </c>
      <c r="H402" s="20" t="s">
        <v>97</v>
      </c>
      <c r="I402" s="20" t="s">
        <v>97</v>
      </c>
      <c r="J402" s="22" t="n">
        <v>0</v>
      </c>
      <c r="K402" s="29" t="n">
        <v>100</v>
      </c>
      <c r="L402" s="18" t="s">
        <v>98</v>
      </c>
      <c r="M402" s="30"/>
      <c r="N402" s="25" t="str">
        <f aca="false">IF(AND(ISNUMBER(J402),ISNUMBER(K402),ISNUMBER(M402),K402&lt;&gt;J402),MAX(0,MIN(1,(M402-J402)/(K402-J402))),"")</f>
        <v/>
      </c>
      <c r="O402" s="26"/>
      <c r="P402" s="6"/>
      <c r="Q402" s="6"/>
    </row>
    <row r="403" customFormat="false" ht="22.35" hidden="false" customHeight="false" outlineLevel="0" collapsed="false">
      <c r="A403" s="6" t="s">
        <v>1535</v>
      </c>
      <c r="B403" s="18" t="s">
        <v>1523</v>
      </c>
      <c r="C403" s="6" t="s">
        <v>1536</v>
      </c>
      <c r="E403" s="19" t="s">
        <v>97</v>
      </c>
      <c r="F403" s="20" t="s">
        <v>93</v>
      </c>
      <c r="G403" s="20" t="s">
        <v>74</v>
      </c>
      <c r="H403" s="20" t="s">
        <v>97</v>
      </c>
      <c r="I403" s="20" t="s">
        <v>97</v>
      </c>
      <c r="J403" s="22" t="n">
        <v>0</v>
      </c>
      <c r="K403" s="29" t="n">
        <v>95</v>
      </c>
      <c r="L403" s="18" t="s">
        <v>98</v>
      </c>
      <c r="M403" s="30"/>
      <c r="N403" s="25" t="str">
        <f aca="false">IF(AND(ISNUMBER(J403),ISNUMBER(K403),ISNUMBER(M403),K403&lt;&gt;J403),MAX(0,MIN(1,(M403-J403)/(K403-J403))),"")</f>
        <v/>
      </c>
      <c r="O403" s="26"/>
      <c r="P403" s="6"/>
      <c r="Q403" s="6"/>
    </row>
    <row r="404" customFormat="false" ht="93" hidden="false" customHeight="true" outlineLevel="0" collapsed="false">
      <c r="A404" s="12" t="s">
        <v>1537</v>
      </c>
      <c r="B404" s="12" t="s">
        <v>1523</v>
      </c>
      <c r="C404" s="13" t="s">
        <v>1538</v>
      </c>
      <c r="D404" s="14" t="s">
        <v>1515</v>
      </c>
      <c r="E404" s="15"/>
      <c r="F404" s="15"/>
      <c r="G404" s="15"/>
      <c r="H404" s="15"/>
      <c r="I404" s="15"/>
      <c r="J404" s="15"/>
      <c r="K404" s="15"/>
      <c r="L404" s="15"/>
      <c r="M404" s="16" t="s">
        <v>66</v>
      </c>
      <c r="N404" s="17" t="n">
        <f aca="false">IFERROR(AVERAGE(N405:N407),"")</f>
        <v>0</v>
      </c>
      <c r="O404" s="14"/>
      <c r="P404" s="14" t="s">
        <v>1539</v>
      </c>
      <c r="Q404" s="14" t="s">
        <v>1540</v>
      </c>
    </row>
    <row r="405" customFormat="false" ht="22.35" hidden="false" customHeight="false" outlineLevel="0" collapsed="false">
      <c r="A405" s="6" t="s">
        <v>1541</v>
      </c>
      <c r="B405" s="18" t="s">
        <v>1523</v>
      </c>
      <c r="C405" s="6" t="s">
        <v>465</v>
      </c>
      <c r="E405" s="19" t="s">
        <v>466</v>
      </c>
      <c r="F405" s="20" t="s">
        <v>93</v>
      </c>
      <c r="G405" s="20" t="s">
        <v>74</v>
      </c>
      <c r="H405" s="22" t="n">
        <v>100</v>
      </c>
      <c r="I405" s="22" t="n">
        <v>100</v>
      </c>
      <c r="J405" s="22" t="n">
        <v>100</v>
      </c>
      <c r="K405" s="28" t="n">
        <v>100</v>
      </c>
      <c r="L405" s="18" t="s">
        <v>405</v>
      </c>
      <c r="M405" s="27" t="n">
        <v>100</v>
      </c>
      <c r="N405" s="25" t="str">
        <f aca="false">IF(AND(ISNUMBER(J405),ISNUMBER(K405),ISNUMBER(M405),K405&lt;&gt;J405),MAX(0,MIN(1,(M405-J405)/(K405-J405))),"")</f>
        <v/>
      </c>
      <c r="O405" s="26"/>
      <c r="P405" s="6"/>
      <c r="Q405" s="6"/>
    </row>
    <row r="406" customFormat="false" ht="22.35" hidden="false" customHeight="false" outlineLevel="0" collapsed="false">
      <c r="A406" s="6" t="s">
        <v>1542</v>
      </c>
      <c r="B406" s="18" t="s">
        <v>1523</v>
      </c>
      <c r="C406" s="6" t="s">
        <v>468</v>
      </c>
      <c r="E406" s="19" t="s">
        <v>469</v>
      </c>
      <c r="F406" s="20" t="s">
        <v>117</v>
      </c>
      <c r="G406" s="20" t="s">
        <v>118</v>
      </c>
      <c r="H406" s="22" t="n">
        <v>35.4</v>
      </c>
      <c r="I406" s="22" t="n">
        <v>34.9</v>
      </c>
      <c r="J406" s="22" t="n">
        <v>34.9</v>
      </c>
      <c r="K406" s="29" t="n">
        <v>33.155</v>
      </c>
      <c r="L406" s="18" t="s">
        <v>138</v>
      </c>
      <c r="M406" s="27" t="n">
        <v>34.9</v>
      </c>
      <c r="N406" s="25" t="n">
        <f aca="false">IF(AND(ISNUMBER(J406),ISNUMBER(K406),ISNUMBER(M406),K406&lt;&gt;J406),MAX(0,MIN(1,(M406-J406)/(K406-J406))),"")</f>
        <v>-0</v>
      </c>
      <c r="O406" s="26"/>
      <c r="P406" s="6"/>
      <c r="Q406" s="6"/>
    </row>
    <row r="407" customFormat="false" ht="22.35" hidden="false" customHeight="false" outlineLevel="0" collapsed="false">
      <c r="A407" s="6" t="s">
        <v>1543</v>
      </c>
      <c r="B407" s="18" t="s">
        <v>1523</v>
      </c>
      <c r="C407" s="6" t="s">
        <v>1544</v>
      </c>
      <c r="E407" s="19" t="s">
        <v>97</v>
      </c>
      <c r="F407" s="20" t="s">
        <v>93</v>
      </c>
      <c r="G407" s="20" t="s">
        <v>74</v>
      </c>
      <c r="H407" s="20" t="s">
        <v>97</v>
      </c>
      <c r="I407" s="20" t="s">
        <v>97</v>
      </c>
      <c r="J407" s="22" t="n">
        <v>0</v>
      </c>
      <c r="K407" s="29" t="n">
        <v>100</v>
      </c>
      <c r="L407" s="18" t="s">
        <v>98</v>
      </c>
      <c r="M407" s="30"/>
      <c r="N407" s="25" t="str">
        <f aca="false">IF(AND(ISNUMBER(J407),ISNUMBER(K407),ISNUMBER(M407),K407&lt;&gt;J407),MAX(0,MIN(1,(M407-J407)/(K407-J407))),"")</f>
        <v/>
      </c>
      <c r="O407" s="26"/>
      <c r="P407" s="6"/>
      <c r="Q407" s="6"/>
    </row>
    <row r="408" customFormat="false" ht="24" hidden="false" customHeight="true" outlineLevel="0" collapsed="false">
      <c r="A408" s="35" t="s">
        <v>1545</v>
      </c>
      <c r="B408" s="34"/>
      <c r="C408" s="34"/>
      <c r="D408" s="34"/>
      <c r="E408" s="34"/>
      <c r="F408" s="34"/>
      <c r="G408" s="34"/>
      <c r="H408" s="34"/>
      <c r="I408" s="34"/>
      <c r="J408" s="34"/>
      <c r="K408" s="34"/>
      <c r="L408" s="34"/>
      <c r="M408" s="34"/>
      <c r="N408" s="34"/>
      <c r="O408" s="34"/>
      <c r="P408" s="34"/>
      <c r="Q408" s="34"/>
    </row>
    <row r="409" customFormat="false" ht="468" hidden="false" customHeight="true" outlineLevel="0" collapsed="false">
      <c r="A409" s="12" t="s">
        <v>1546</v>
      </c>
      <c r="B409" s="12" t="s">
        <v>1547</v>
      </c>
      <c r="C409" s="13" t="s">
        <v>1548</v>
      </c>
      <c r="D409" s="14" t="s">
        <v>1496</v>
      </c>
      <c r="E409" s="15"/>
      <c r="F409" s="15"/>
      <c r="G409" s="15"/>
      <c r="H409" s="15"/>
      <c r="I409" s="15"/>
      <c r="J409" s="15"/>
      <c r="K409" s="15"/>
      <c r="L409" s="15"/>
      <c r="M409" s="16" t="s">
        <v>66</v>
      </c>
      <c r="N409" s="17" t="n">
        <f aca="false">IFERROR(AVERAGE(N410:N412),"")</f>
        <v>0</v>
      </c>
      <c r="O409" s="14"/>
      <c r="P409" s="14" t="s">
        <v>1549</v>
      </c>
      <c r="Q409" s="14" t="s">
        <v>1550</v>
      </c>
    </row>
    <row r="410" customFormat="false" ht="22.35" hidden="false" customHeight="false" outlineLevel="0" collapsed="false">
      <c r="A410" s="6" t="s">
        <v>1551</v>
      </c>
      <c r="B410" s="18" t="s">
        <v>1547</v>
      </c>
      <c r="C410" s="6" t="s">
        <v>1552</v>
      </c>
      <c r="E410" s="19" t="s">
        <v>1553</v>
      </c>
      <c r="F410" s="20" t="s">
        <v>93</v>
      </c>
      <c r="G410" s="20" t="s">
        <v>74</v>
      </c>
      <c r="H410" s="22" t="n">
        <v>100</v>
      </c>
      <c r="I410" s="22" t="n">
        <v>100</v>
      </c>
      <c r="J410" s="22" t="n">
        <v>100</v>
      </c>
      <c r="K410" s="28" t="n">
        <v>100</v>
      </c>
      <c r="L410" s="18" t="s">
        <v>405</v>
      </c>
      <c r="M410" s="27" t="n">
        <v>100</v>
      </c>
      <c r="N410" s="25" t="str">
        <f aca="false">IF(AND(ISNUMBER(J410),ISNUMBER(K410),ISNUMBER(M410),K410&lt;&gt;J410),MAX(0,MIN(1,(M410-J410)/(K410-J410))),"")</f>
        <v/>
      </c>
      <c r="O410" s="26"/>
      <c r="P410" s="6"/>
      <c r="Q410" s="6"/>
    </row>
    <row r="411" customFormat="false" ht="22.35" hidden="false" customHeight="false" outlineLevel="0" collapsed="false">
      <c r="A411" s="6" t="s">
        <v>1554</v>
      </c>
      <c r="B411" s="18" t="s">
        <v>1547</v>
      </c>
      <c r="C411" s="6" t="s">
        <v>1555</v>
      </c>
      <c r="E411" s="19" t="s">
        <v>1556</v>
      </c>
      <c r="F411" s="20" t="s">
        <v>93</v>
      </c>
      <c r="G411" s="20" t="s">
        <v>74</v>
      </c>
      <c r="H411" s="22" t="n">
        <v>75</v>
      </c>
      <c r="I411" s="22" t="n">
        <v>75</v>
      </c>
      <c r="J411" s="22" t="n">
        <v>75</v>
      </c>
      <c r="K411" s="28" t="n">
        <v>80</v>
      </c>
      <c r="L411" s="18" t="s">
        <v>119</v>
      </c>
      <c r="M411" s="27" t="n">
        <v>75</v>
      </c>
      <c r="N411" s="25" t="n">
        <f aca="false">IF(AND(ISNUMBER(J411),ISNUMBER(K411),ISNUMBER(M411),K411&lt;&gt;J411),MAX(0,MIN(1,(M411-J411)/(K411-J411))),"")</f>
        <v>0</v>
      </c>
      <c r="O411" s="26"/>
      <c r="P411" s="6"/>
      <c r="Q411" s="6"/>
    </row>
    <row r="412" customFormat="false" ht="22.35" hidden="false" customHeight="false" outlineLevel="0" collapsed="false">
      <c r="A412" s="6" t="s">
        <v>1557</v>
      </c>
      <c r="B412" s="18" t="s">
        <v>1547</v>
      </c>
      <c r="C412" s="6" t="s">
        <v>1558</v>
      </c>
      <c r="E412" s="19" t="s">
        <v>97</v>
      </c>
      <c r="F412" s="20" t="s">
        <v>79</v>
      </c>
      <c r="G412" s="20" t="s">
        <v>74</v>
      </c>
      <c r="H412" s="20" t="s">
        <v>97</v>
      </c>
      <c r="I412" s="20" t="s">
        <v>97</v>
      </c>
      <c r="J412" s="22" t="n">
        <v>0</v>
      </c>
      <c r="K412" s="29" t="n">
        <v>10</v>
      </c>
      <c r="L412" s="18" t="s">
        <v>98</v>
      </c>
      <c r="M412" s="30"/>
      <c r="N412" s="25" t="str">
        <f aca="false">IF(AND(ISNUMBER(J412),ISNUMBER(K412),ISNUMBER(M412),K412&lt;&gt;J412),MAX(0,MIN(1,(M412-J412)/(K412-J412))),"")</f>
        <v/>
      </c>
      <c r="O412" s="26"/>
      <c r="P412" s="6"/>
      <c r="Q412" s="6"/>
    </row>
    <row r="413" customFormat="false" ht="231" hidden="false" customHeight="true" outlineLevel="0" collapsed="false">
      <c r="A413" s="12" t="s">
        <v>1559</v>
      </c>
      <c r="B413" s="12" t="s">
        <v>1547</v>
      </c>
      <c r="C413" s="13" t="s">
        <v>1560</v>
      </c>
      <c r="D413" s="14" t="s">
        <v>1496</v>
      </c>
      <c r="E413" s="15"/>
      <c r="F413" s="15"/>
      <c r="G413" s="15"/>
      <c r="H413" s="15"/>
      <c r="I413" s="15"/>
      <c r="J413" s="15"/>
      <c r="K413" s="15"/>
      <c r="L413" s="15"/>
      <c r="M413" s="16" t="s">
        <v>66</v>
      </c>
      <c r="N413" s="17" t="n">
        <f aca="false">IFERROR(AVERAGE(N414:N416),"")</f>
        <v>0</v>
      </c>
      <c r="O413" s="14"/>
      <c r="P413" s="14" t="s">
        <v>1561</v>
      </c>
      <c r="Q413" s="14" t="s">
        <v>1562</v>
      </c>
    </row>
    <row r="414" customFormat="false" ht="22.35" hidden="false" customHeight="false" outlineLevel="0" collapsed="false">
      <c r="A414" s="6" t="s">
        <v>1563</v>
      </c>
      <c r="B414" s="18" t="s">
        <v>1547</v>
      </c>
      <c r="C414" s="6" t="s">
        <v>483</v>
      </c>
      <c r="E414" s="19" t="s">
        <v>484</v>
      </c>
      <c r="F414" s="20" t="s">
        <v>93</v>
      </c>
      <c r="G414" s="20" t="s">
        <v>74</v>
      </c>
      <c r="H414" s="20" t="s">
        <v>97</v>
      </c>
      <c r="I414" s="22" t="n">
        <v>74.75</v>
      </c>
      <c r="J414" s="22" t="n">
        <v>74.75</v>
      </c>
      <c r="K414" s="28" t="n">
        <v>75</v>
      </c>
      <c r="L414" s="18" t="s">
        <v>119</v>
      </c>
      <c r="M414" s="27" t="n">
        <v>74.75</v>
      </c>
      <c r="N414" s="25" t="n">
        <f aca="false">IF(AND(ISNUMBER(J414),ISNUMBER(K414),ISNUMBER(M414),K414&lt;&gt;J414),MAX(0,MIN(1,(M414-J414)/(K414-J414))),"")</f>
        <v>0</v>
      </c>
      <c r="O414" s="26"/>
      <c r="P414" s="6"/>
      <c r="Q414" s="6"/>
    </row>
    <row r="415" customFormat="false" ht="22.35" hidden="false" customHeight="false" outlineLevel="0" collapsed="false">
      <c r="A415" s="6" t="s">
        <v>1564</v>
      </c>
      <c r="B415" s="18" t="s">
        <v>1547</v>
      </c>
      <c r="C415" s="6" t="s">
        <v>486</v>
      </c>
      <c r="E415" s="19" t="s">
        <v>487</v>
      </c>
      <c r="F415" s="20" t="s">
        <v>93</v>
      </c>
      <c r="G415" s="20" t="s">
        <v>74</v>
      </c>
      <c r="H415" s="20" t="s">
        <v>97</v>
      </c>
      <c r="I415" s="22" t="n">
        <v>71.96</v>
      </c>
      <c r="J415" s="22" t="n">
        <v>71.96</v>
      </c>
      <c r="K415" s="28" t="n">
        <v>75</v>
      </c>
      <c r="L415" s="18" t="s">
        <v>119</v>
      </c>
      <c r="M415" s="27" t="n">
        <v>71.96</v>
      </c>
      <c r="N415" s="25" t="n">
        <f aca="false">IF(AND(ISNUMBER(J415),ISNUMBER(K415),ISNUMBER(M415),K415&lt;&gt;J415),MAX(0,MIN(1,(M415-J415)/(K415-J415))),"")</f>
        <v>0</v>
      </c>
      <c r="O415" s="26"/>
      <c r="P415" s="6"/>
      <c r="Q415" s="6"/>
    </row>
    <row r="416" customFormat="false" ht="22.35" hidden="false" customHeight="false" outlineLevel="0" collapsed="false">
      <c r="A416" s="6" t="s">
        <v>1565</v>
      </c>
      <c r="B416" s="18" t="s">
        <v>1547</v>
      </c>
      <c r="C416" s="6" t="s">
        <v>1566</v>
      </c>
      <c r="E416" s="19" t="s">
        <v>97</v>
      </c>
      <c r="F416" s="20" t="s">
        <v>910</v>
      </c>
      <c r="G416" s="20" t="s">
        <v>118</v>
      </c>
      <c r="H416" s="20" t="s">
        <v>97</v>
      </c>
      <c r="I416" s="20" t="s">
        <v>97</v>
      </c>
      <c r="J416" s="20" t="s">
        <v>97</v>
      </c>
      <c r="K416" s="29" t="n">
        <v>8</v>
      </c>
      <c r="L416" s="18" t="s">
        <v>98</v>
      </c>
      <c r="M416" s="30"/>
      <c r="N416" s="25" t="str">
        <f aca="false">IF(AND(ISNUMBER(J416),ISNUMBER(K416),ISNUMBER(M416),K416&lt;&gt;J416),MAX(0,MIN(1,(M416-J416)/(K416-J416))),"")</f>
        <v/>
      </c>
      <c r="O416" s="26"/>
      <c r="P416" s="6"/>
      <c r="Q416" s="6"/>
    </row>
    <row r="417" customFormat="false" ht="255.75" hidden="false" customHeight="true" outlineLevel="0" collapsed="false">
      <c r="A417" s="12" t="s">
        <v>1567</v>
      </c>
      <c r="B417" s="12" t="s">
        <v>1547</v>
      </c>
      <c r="C417" s="13" t="s">
        <v>1568</v>
      </c>
      <c r="D417" s="14" t="s">
        <v>1496</v>
      </c>
      <c r="E417" s="15"/>
      <c r="F417" s="15"/>
      <c r="G417" s="15"/>
      <c r="H417" s="15"/>
      <c r="I417" s="15"/>
      <c r="J417" s="15"/>
      <c r="K417" s="15"/>
      <c r="L417" s="15"/>
      <c r="M417" s="16" t="s">
        <v>66</v>
      </c>
      <c r="N417" s="17" t="n">
        <f aca="false">IFERROR(AVERAGE(N418:N421),"")</f>
        <v>0</v>
      </c>
      <c r="O417" s="14"/>
      <c r="P417" s="14" t="s">
        <v>1569</v>
      </c>
      <c r="Q417" s="14" t="s">
        <v>1570</v>
      </c>
    </row>
    <row r="418" customFormat="false" ht="22.35" hidden="false" customHeight="false" outlineLevel="0" collapsed="false">
      <c r="A418" s="6" t="s">
        <v>1571</v>
      </c>
      <c r="B418" s="18" t="s">
        <v>1547</v>
      </c>
      <c r="C418" s="6" t="s">
        <v>1572</v>
      </c>
      <c r="E418" s="19" t="s">
        <v>1573</v>
      </c>
      <c r="F418" s="20" t="s">
        <v>93</v>
      </c>
      <c r="G418" s="20" t="s">
        <v>74</v>
      </c>
      <c r="H418" s="22" t="n">
        <v>99</v>
      </c>
      <c r="I418" s="22" t="n">
        <v>99</v>
      </c>
      <c r="J418" s="22" t="n">
        <v>99</v>
      </c>
      <c r="K418" s="29" t="n">
        <v>100</v>
      </c>
      <c r="L418" s="18" t="s">
        <v>138</v>
      </c>
      <c r="M418" s="27" t="n">
        <v>99</v>
      </c>
      <c r="N418" s="25" t="n">
        <f aca="false">IF(AND(ISNUMBER(J418),ISNUMBER(K418),ISNUMBER(M418),K418&lt;&gt;J418),MAX(0,MIN(1,(M418-J418)/(K418-J418))),"")</f>
        <v>0</v>
      </c>
      <c r="O418" s="26"/>
      <c r="P418" s="6"/>
      <c r="Q418" s="6"/>
    </row>
    <row r="419" customFormat="false" ht="22.35" hidden="false" customHeight="false" outlineLevel="0" collapsed="false">
      <c r="A419" s="6" t="s">
        <v>1574</v>
      </c>
      <c r="B419" s="18" t="s">
        <v>1547</v>
      </c>
      <c r="C419" s="6" t="s">
        <v>476</v>
      </c>
      <c r="E419" s="19" t="s">
        <v>477</v>
      </c>
      <c r="F419" s="20" t="s">
        <v>93</v>
      </c>
      <c r="G419" s="20" t="s">
        <v>74</v>
      </c>
      <c r="H419" s="22" t="n">
        <v>99</v>
      </c>
      <c r="I419" s="22" t="n">
        <v>97</v>
      </c>
      <c r="J419" s="22" t="n">
        <v>97</v>
      </c>
      <c r="K419" s="28" t="n">
        <v>99</v>
      </c>
      <c r="L419" s="18" t="s">
        <v>119</v>
      </c>
      <c r="M419" s="27" t="n">
        <v>97</v>
      </c>
      <c r="N419" s="25" t="n">
        <f aca="false">IF(AND(ISNUMBER(J419),ISNUMBER(K419),ISNUMBER(M419),K419&lt;&gt;J419),MAX(0,MIN(1,(M419-J419)/(K419-J419))),"")</f>
        <v>0</v>
      </c>
      <c r="O419" s="26"/>
      <c r="P419" s="6"/>
      <c r="Q419" s="6"/>
    </row>
    <row r="420" customFormat="false" ht="22.35" hidden="false" customHeight="false" outlineLevel="0" collapsed="false">
      <c r="A420" s="6" t="s">
        <v>1575</v>
      </c>
      <c r="B420" s="18" t="s">
        <v>1547</v>
      </c>
      <c r="C420" s="6" t="s">
        <v>479</v>
      </c>
      <c r="E420" s="19" t="s">
        <v>480</v>
      </c>
      <c r="F420" s="20" t="s">
        <v>79</v>
      </c>
      <c r="G420" s="20" t="s">
        <v>118</v>
      </c>
      <c r="H420" s="20" t="s">
        <v>97</v>
      </c>
      <c r="I420" s="22" t="n">
        <v>1</v>
      </c>
      <c r="J420" s="22" t="n">
        <v>1</v>
      </c>
      <c r="K420" s="29" t="n">
        <v>0</v>
      </c>
      <c r="L420" s="18" t="s">
        <v>481</v>
      </c>
      <c r="M420" s="27" t="n">
        <v>1</v>
      </c>
      <c r="N420" s="25" t="n">
        <f aca="false">IF(AND(ISNUMBER(J420),ISNUMBER(K420),ISNUMBER(M420),K420&lt;&gt;J420),MAX(0,MIN(1,(M420-J420)/(K420-J420))),"")</f>
        <v>-0</v>
      </c>
      <c r="O420" s="26"/>
      <c r="P420" s="6"/>
      <c r="Q420" s="6"/>
    </row>
    <row r="421" customFormat="false" ht="22.35" hidden="false" customHeight="false" outlineLevel="0" collapsed="false">
      <c r="A421" s="6" t="s">
        <v>1576</v>
      </c>
      <c r="B421" s="18" t="s">
        <v>1547</v>
      </c>
      <c r="C421" s="6" t="s">
        <v>1577</v>
      </c>
      <c r="E421" s="19" t="s">
        <v>97</v>
      </c>
      <c r="F421" s="20" t="s">
        <v>93</v>
      </c>
      <c r="G421" s="20" t="s">
        <v>74</v>
      </c>
      <c r="H421" s="20" t="s">
        <v>97</v>
      </c>
      <c r="I421" s="20" t="s">
        <v>97</v>
      </c>
      <c r="J421" s="22" t="n">
        <v>0</v>
      </c>
      <c r="K421" s="29" t="n">
        <v>100</v>
      </c>
      <c r="L421" s="18" t="s">
        <v>98</v>
      </c>
      <c r="M421" s="30"/>
      <c r="N421" s="25" t="str">
        <f aca="false">IF(AND(ISNUMBER(J421),ISNUMBER(K421),ISNUMBER(M421),K421&lt;&gt;J421),MAX(0,MIN(1,(M421-J421)/(K421-J421))),"")</f>
        <v/>
      </c>
      <c r="O421" s="26"/>
      <c r="P421" s="6"/>
      <c r="Q421" s="6"/>
    </row>
    <row r="422" customFormat="false" ht="24" hidden="false" customHeight="true" outlineLevel="0" collapsed="false">
      <c r="A422" s="35" t="s">
        <v>1578</v>
      </c>
      <c r="B422" s="34"/>
      <c r="C422" s="34"/>
      <c r="D422" s="34"/>
      <c r="E422" s="34"/>
      <c r="F422" s="34"/>
      <c r="G422" s="34"/>
      <c r="H422" s="34"/>
      <c r="I422" s="34"/>
      <c r="J422" s="34"/>
      <c r="K422" s="34"/>
      <c r="L422" s="34"/>
      <c r="M422" s="34"/>
      <c r="N422" s="34"/>
      <c r="O422" s="34"/>
      <c r="P422" s="34"/>
      <c r="Q422" s="34"/>
    </row>
    <row r="423" customFormat="false" ht="118.5" hidden="false" customHeight="true" outlineLevel="0" collapsed="false">
      <c r="A423" s="12" t="s">
        <v>1579</v>
      </c>
      <c r="B423" s="12" t="s">
        <v>1580</v>
      </c>
      <c r="C423" s="13" t="s">
        <v>1581</v>
      </c>
      <c r="D423" s="14" t="s">
        <v>1582</v>
      </c>
      <c r="E423" s="15"/>
      <c r="F423" s="15"/>
      <c r="G423" s="15"/>
      <c r="H423" s="15"/>
      <c r="I423" s="15"/>
      <c r="J423" s="15"/>
      <c r="K423" s="15"/>
      <c r="L423" s="15"/>
      <c r="M423" s="16" t="s">
        <v>66</v>
      </c>
      <c r="N423" s="17" t="str">
        <f aca="false">IFERROR(AVERAGE(N424:N425),"")</f>
        <v/>
      </c>
      <c r="O423" s="14"/>
      <c r="P423" s="14" t="s">
        <v>1583</v>
      </c>
      <c r="Q423" s="14"/>
    </row>
    <row r="424" customFormat="false" ht="22.35" hidden="false" customHeight="false" outlineLevel="0" collapsed="false">
      <c r="A424" s="6" t="s">
        <v>1584</v>
      </c>
      <c r="B424" s="18" t="s">
        <v>1580</v>
      </c>
      <c r="C424" s="6" t="s">
        <v>1585</v>
      </c>
      <c r="E424" s="19" t="s">
        <v>97</v>
      </c>
      <c r="F424" s="20" t="s">
        <v>79</v>
      </c>
      <c r="G424" s="20" t="s">
        <v>74</v>
      </c>
      <c r="H424" s="20" t="s">
        <v>97</v>
      </c>
      <c r="I424" s="20" t="s">
        <v>97</v>
      </c>
      <c r="J424" s="22" t="n">
        <v>0</v>
      </c>
      <c r="K424" s="29" t="n">
        <v>3</v>
      </c>
      <c r="L424" s="18" t="s">
        <v>98</v>
      </c>
      <c r="M424" s="30"/>
      <c r="N424" s="25" t="str">
        <f aca="false">IF(AND(ISNUMBER(J424),ISNUMBER(K424),ISNUMBER(M424),K424&lt;&gt;J424),MAX(0,MIN(1,(M424-J424)/(K424-J424))),"")</f>
        <v/>
      </c>
      <c r="O424" s="26"/>
      <c r="P424" s="6"/>
      <c r="Q424" s="6"/>
    </row>
    <row r="425" customFormat="false" ht="22.35" hidden="false" customHeight="false" outlineLevel="0" collapsed="false">
      <c r="A425" s="6" t="s">
        <v>1586</v>
      </c>
      <c r="B425" s="18" t="s">
        <v>1580</v>
      </c>
      <c r="C425" s="6" t="s">
        <v>1587</v>
      </c>
      <c r="E425" s="19" t="s">
        <v>97</v>
      </c>
      <c r="F425" s="20" t="s">
        <v>93</v>
      </c>
      <c r="G425" s="20" t="s">
        <v>74</v>
      </c>
      <c r="H425" s="20" t="s">
        <v>97</v>
      </c>
      <c r="I425" s="20" t="s">
        <v>97</v>
      </c>
      <c r="J425" s="22" t="n">
        <v>0</v>
      </c>
      <c r="K425" s="29" t="n">
        <v>100</v>
      </c>
      <c r="L425" s="18" t="s">
        <v>98</v>
      </c>
      <c r="M425" s="30"/>
      <c r="N425" s="25" t="str">
        <f aca="false">IF(AND(ISNUMBER(J425),ISNUMBER(K425),ISNUMBER(M425),K425&lt;&gt;J425),MAX(0,MIN(1,(M425-J425)/(K425-J425))),"")</f>
        <v/>
      </c>
      <c r="O425" s="26"/>
      <c r="P425" s="6"/>
      <c r="Q425" s="6"/>
    </row>
    <row r="426" customFormat="false" ht="81" hidden="false" customHeight="true" outlineLevel="0" collapsed="false">
      <c r="A426" s="12" t="s">
        <v>1588</v>
      </c>
      <c r="B426" s="12" t="s">
        <v>1580</v>
      </c>
      <c r="C426" s="13" t="s">
        <v>1589</v>
      </c>
      <c r="D426" s="14" t="s">
        <v>1582</v>
      </c>
      <c r="E426" s="15"/>
      <c r="F426" s="15"/>
      <c r="G426" s="15"/>
      <c r="H426" s="15"/>
      <c r="I426" s="15"/>
      <c r="J426" s="15"/>
      <c r="K426" s="15"/>
      <c r="L426" s="15"/>
      <c r="M426" s="16" t="s">
        <v>66</v>
      </c>
      <c r="N426" s="17" t="str">
        <f aca="false">IFERROR(AVERAGE(N427:N429),"")</f>
        <v/>
      </c>
      <c r="O426" s="14"/>
      <c r="P426" s="14" t="s">
        <v>1590</v>
      </c>
      <c r="Q426" s="14"/>
    </row>
    <row r="427" customFormat="false" ht="22.35" hidden="false" customHeight="false" outlineLevel="0" collapsed="false">
      <c r="A427" s="6" t="s">
        <v>1591</v>
      </c>
      <c r="B427" s="18" t="s">
        <v>1580</v>
      </c>
      <c r="C427" s="6" t="s">
        <v>1592</v>
      </c>
      <c r="E427" s="19" t="s">
        <v>97</v>
      </c>
      <c r="F427" s="20" t="s">
        <v>79</v>
      </c>
      <c r="G427" s="20" t="s">
        <v>74</v>
      </c>
      <c r="H427" s="20" t="s">
        <v>97</v>
      </c>
      <c r="I427" s="20" t="s">
        <v>97</v>
      </c>
      <c r="J427" s="22" t="n">
        <v>0</v>
      </c>
      <c r="K427" s="29" t="n">
        <v>5</v>
      </c>
      <c r="L427" s="18" t="s">
        <v>98</v>
      </c>
      <c r="M427" s="30"/>
      <c r="N427" s="25" t="str">
        <f aca="false">IF(AND(ISNUMBER(J427),ISNUMBER(K427),ISNUMBER(M427),K427&lt;&gt;J427),MAX(0,MIN(1,(M427-J427)/(K427-J427))),"")</f>
        <v/>
      </c>
      <c r="O427" s="26"/>
      <c r="P427" s="6"/>
      <c r="Q427" s="6"/>
    </row>
    <row r="428" customFormat="false" ht="22.35" hidden="false" customHeight="false" outlineLevel="0" collapsed="false">
      <c r="A428" s="6" t="s">
        <v>1593</v>
      </c>
      <c r="B428" s="18" t="s">
        <v>1580</v>
      </c>
      <c r="C428" s="6" t="s">
        <v>1594</v>
      </c>
      <c r="E428" s="19" t="s">
        <v>97</v>
      </c>
      <c r="F428" s="20" t="s">
        <v>93</v>
      </c>
      <c r="G428" s="20" t="s">
        <v>74</v>
      </c>
      <c r="H428" s="20" t="s">
        <v>97</v>
      </c>
      <c r="I428" s="20" t="s">
        <v>97</v>
      </c>
      <c r="J428" s="22" t="n">
        <v>0</v>
      </c>
      <c r="K428" s="29" t="n">
        <v>100</v>
      </c>
      <c r="L428" s="18" t="s">
        <v>98</v>
      </c>
      <c r="M428" s="30"/>
      <c r="N428" s="25" t="str">
        <f aca="false">IF(AND(ISNUMBER(J428),ISNUMBER(K428),ISNUMBER(M428),K428&lt;&gt;J428),MAX(0,MIN(1,(M428-J428)/(K428-J428))),"")</f>
        <v/>
      </c>
      <c r="O428" s="26"/>
      <c r="P428" s="6"/>
      <c r="Q428" s="6"/>
    </row>
    <row r="429" customFormat="false" ht="22.35" hidden="false" customHeight="false" outlineLevel="0" collapsed="false">
      <c r="A429" s="6" t="s">
        <v>1595</v>
      </c>
      <c r="B429" s="18" t="s">
        <v>1580</v>
      </c>
      <c r="C429" s="6" t="s">
        <v>1596</v>
      </c>
      <c r="E429" s="19" t="s">
        <v>97</v>
      </c>
      <c r="F429" s="20" t="s">
        <v>79</v>
      </c>
      <c r="G429" s="20" t="s">
        <v>74</v>
      </c>
      <c r="H429" s="20" t="s">
        <v>97</v>
      </c>
      <c r="I429" s="20" t="s">
        <v>97</v>
      </c>
      <c r="J429" s="22" t="n">
        <v>0</v>
      </c>
      <c r="K429" s="29" t="n">
        <v>10</v>
      </c>
      <c r="L429" s="18" t="s">
        <v>98</v>
      </c>
      <c r="M429" s="30"/>
      <c r="N429" s="25" t="str">
        <f aca="false">IF(AND(ISNUMBER(J429),ISNUMBER(K429),ISNUMBER(M429),K429&lt;&gt;J429),MAX(0,MIN(1,(M429-J429)/(K429-J429))),"")</f>
        <v/>
      </c>
      <c r="O429" s="26"/>
      <c r="P429" s="6"/>
      <c r="Q429" s="6"/>
    </row>
    <row r="430" customFormat="false" ht="93" hidden="false" customHeight="true" outlineLevel="0" collapsed="false">
      <c r="A430" s="12" t="s">
        <v>1597</v>
      </c>
      <c r="B430" s="12" t="s">
        <v>1580</v>
      </c>
      <c r="C430" s="13" t="s">
        <v>1598</v>
      </c>
      <c r="D430" s="14" t="s">
        <v>1582</v>
      </c>
      <c r="E430" s="15"/>
      <c r="F430" s="15"/>
      <c r="G430" s="15"/>
      <c r="H430" s="15"/>
      <c r="I430" s="15"/>
      <c r="J430" s="15"/>
      <c r="K430" s="15"/>
      <c r="L430" s="15"/>
      <c r="M430" s="16" t="s">
        <v>66</v>
      </c>
      <c r="N430" s="17" t="n">
        <f aca="false">IFERROR(AVERAGE(N431:N432),"")</f>
        <v>0</v>
      </c>
      <c r="O430" s="14"/>
      <c r="P430" s="14" t="s">
        <v>1599</v>
      </c>
      <c r="Q430" s="14" t="s">
        <v>1600</v>
      </c>
    </row>
    <row r="431" customFormat="false" ht="23.85" hidden="false" customHeight="false" outlineLevel="0" collapsed="false">
      <c r="A431" s="6" t="s">
        <v>1601</v>
      </c>
      <c r="B431" s="18" t="s">
        <v>1580</v>
      </c>
      <c r="C431" s="6" t="s">
        <v>492</v>
      </c>
      <c r="E431" s="19" t="s">
        <v>493</v>
      </c>
      <c r="F431" s="20" t="s">
        <v>93</v>
      </c>
      <c r="G431" s="20" t="s">
        <v>74</v>
      </c>
      <c r="H431" s="22" t="n">
        <v>68.01</v>
      </c>
      <c r="I431" s="22" t="n">
        <v>72.98</v>
      </c>
      <c r="J431" s="22" t="n">
        <v>72.98</v>
      </c>
      <c r="K431" s="28" t="n">
        <v>75</v>
      </c>
      <c r="L431" s="18" t="s">
        <v>119</v>
      </c>
      <c r="M431" s="27" t="n">
        <v>72.98</v>
      </c>
      <c r="N431" s="25" t="n">
        <f aca="false">IF(AND(ISNUMBER(J431),ISNUMBER(K431),ISNUMBER(M431),K431&lt;&gt;J431),MAX(0,MIN(1,(M431-J431)/(K431-J431))),"")</f>
        <v>0</v>
      </c>
      <c r="O431" s="26"/>
      <c r="P431" s="6"/>
      <c r="Q431" s="6"/>
    </row>
    <row r="432" customFormat="false" ht="22.35" hidden="false" customHeight="false" outlineLevel="0" collapsed="false">
      <c r="A432" s="6" t="s">
        <v>1602</v>
      </c>
      <c r="B432" s="18" t="s">
        <v>1580</v>
      </c>
      <c r="C432" s="6" t="s">
        <v>495</v>
      </c>
      <c r="E432" s="19" t="s">
        <v>496</v>
      </c>
      <c r="F432" s="20" t="s">
        <v>93</v>
      </c>
      <c r="G432" s="20" t="s">
        <v>74</v>
      </c>
      <c r="H432" s="20" t="s">
        <v>97</v>
      </c>
      <c r="I432" s="22" t="n">
        <v>66.62</v>
      </c>
      <c r="J432" s="22" t="n">
        <v>66.62</v>
      </c>
      <c r="K432" s="29" t="n">
        <v>73.31</v>
      </c>
      <c r="L432" s="18" t="s">
        <v>168</v>
      </c>
      <c r="M432" s="27" t="n">
        <v>66.62</v>
      </c>
      <c r="N432" s="25" t="n">
        <f aca="false">IF(AND(ISNUMBER(J432),ISNUMBER(K432),ISNUMBER(M432),K432&lt;&gt;J432),MAX(0,MIN(1,(M432-J432)/(K432-J432))),"")</f>
        <v>0</v>
      </c>
      <c r="O432" s="26"/>
      <c r="P432" s="6"/>
      <c r="Q432" s="6"/>
    </row>
    <row r="433" customFormat="false" ht="24" hidden="false" customHeight="true" outlineLevel="0" collapsed="false">
      <c r="A433" s="35" t="s">
        <v>1603</v>
      </c>
      <c r="B433" s="34"/>
      <c r="C433" s="34"/>
      <c r="D433" s="34"/>
      <c r="E433" s="34"/>
      <c r="F433" s="34"/>
      <c r="G433" s="34"/>
      <c r="H433" s="34"/>
      <c r="I433" s="34"/>
      <c r="J433" s="34"/>
      <c r="K433" s="34"/>
      <c r="L433" s="34"/>
      <c r="M433" s="34"/>
      <c r="N433" s="34"/>
      <c r="O433" s="34"/>
      <c r="P433" s="34"/>
      <c r="Q433" s="34"/>
    </row>
    <row r="434" customFormat="false" ht="55.5" hidden="false" customHeight="true" outlineLevel="0" collapsed="false">
      <c r="A434" s="12" t="s">
        <v>1604</v>
      </c>
      <c r="B434" s="12" t="s">
        <v>1605</v>
      </c>
      <c r="C434" s="13" t="s">
        <v>1606</v>
      </c>
      <c r="D434" s="14" t="s">
        <v>1607</v>
      </c>
      <c r="E434" s="15"/>
      <c r="F434" s="15"/>
      <c r="G434" s="15"/>
      <c r="H434" s="15"/>
      <c r="I434" s="15"/>
      <c r="J434" s="15"/>
      <c r="K434" s="15"/>
      <c r="L434" s="15"/>
      <c r="M434" s="16" t="s">
        <v>66</v>
      </c>
      <c r="N434" s="17" t="n">
        <f aca="false">IFERROR(AVERAGE(N435:N438),"")</f>
        <v>0</v>
      </c>
      <c r="O434" s="14"/>
      <c r="P434" s="14" t="s">
        <v>1608</v>
      </c>
      <c r="Q434" s="14" t="s">
        <v>607</v>
      </c>
    </row>
    <row r="435" customFormat="false" ht="15" hidden="false" customHeight="false" outlineLevel="0" collapsed="false">
      <c r="A435" s="6" t="s">
        <v>1609</v>
      </c>
      <c r="B435" s="18" t="s">
        <v>1605</v>
      </c>
      <c r="C435" s="6" t="s">
        <v>515</v>
      </c>
      <c r="E435" s="19" t="s">
        <v>516</v>
      </c>
      <c r="F435" s="20" t="s">
        <v>93</v>
      </c>
      <c r="G435" s="20" t="s">
        <v>74</v>
      </c>
      <c r="H435" s="20" t="s">
        <v>97</v>
      </c>
      <c r="I435" s="22" t="n">
        <v>74.93</v>
      </c>
      <c r="J435" s="22" t="n">
        <v>74.93</v>
      </c>
      <c r="K435" s="28" t="n">
        <v>78</v>
      </c>
      <c r="L435" s="18" t="s">
        <v>119</v>
      </c>
      <c r="M435" s="27" t="n">
        <v>74.93</v>
      </c>
      <c r="N435" s="25" t="n">
        <f aca="false">IF(AND(ISNUMBER(J435),ISNUMBER(K435),ISNUMBER(M435),K435&lt;&gt;J435),MAX(0,MIN(1,(M435-J435)/(K435-J435))),"")</f>
        <v>0</v>
      </c>
      <c r="O435" s="26"/>
      <c r="P435" s="6"/>
      <c r="Q435" s="6"/>
    </row>
    <row r="436" customFormat="false" ht="15" hidden="false" customHeight="false" outlineLevel="0" collapsed="false">
      <c r="A436" s="6" t="s">
        <v>1610</v>
      </c>
      <c r="B436" s="18" t="s">
        <v>1605</v>
      </c>
      <c r="C436" s="6" t="s">
        <v>518</v>
      </c>
      <c r="E436" s="19" t="s">
        <v>519</v>
      </c>
      <c r="F436" s="20" t="s">
        <v>93</v>
      </c>
      <c r="G436" s="20" t="s">
        <v>74</v>
      </c>
      <c r="H436" s="20" t="s">
        <v>97</v>
      </c>
      <c r="I436" s="22" t="n">
        <v>55.96</v>
      </c>
      <c r="J436" s="22" t="n">
        <v>55.96</v>
      </c>
      <c r="K436" s="28" t="n">
        <v>70</v>
      </c>
      <c r="L436" s="18" t="s">
        <v>119</v>
      </c>
      <c r="M436" s="27" t="n">
        <v>55.96</v>
      </c>
      <c r="N436" s="25" t="n">
        <f aca="false">IF(AND(ISNUMBER(J436),ISNUMBER(K436),ISNUMBER(M436),K436&lt;&gt;J436),MAX(0,MIN(1,(M436-J436)/(K436-J436))),"")</f>
        <v>0</v>
      </c>
      <c r="O436" s="26"/>
      <c r="P436" s="6"/>
      <c r="Q436" s="6"/>
    </row>
    <row r="437" customFormat="false" ht="15" hidden="false" customHeight="false" outlineLevel="0" collapsed="false">
      <c r="A437" s="6" t="s">
        <v>1611</v>
      </c>
      <c r="B437" s="18" t="s">
        <v>1605</v>
      </c>
      <c r="C437" s="6" t="s">
        <v>521</v>
      </c>
      <c r="E437" s="19" t="s">
        <v>522</v>
      </c>
      <c r="F437" s="20" t="s">
        <v>93</v>
      </c>
      <c r="G437" s="20" t="s">
        <v>74</v>
      </c>
      <c r="H437" s="20" t="s">
        <v>97</v>
      </c>
      <c r="I437" s="22" t="n">
        <v>66.94</v>
      </c>
      <c r="J437" s="22" t="n">
        <v>66.94</v>
      </c>
      <c r="K437" s="28" t="n">
        <v>71</v>
      </c>
      <c r="L437" s="18" t="s">
        <v>119</v>
      </c>
      <c r="M437" s="27" t="n">
        <v>66.94</v>
      </c>
      <c r="N437" s="25" t="n">
        <f aca="false">IF(AND(ISNUMBER(J437),ISNUMBER(K437),ISNUMBER(M437),K437&lt;&gt;J437),MAX(0,MIN(1,(M437-J437)/(K437-J437))),"")</f>
        <v>0</v>
      </c>
      <c r="O437" s="26"/>
      <c r="P437" s="6"/>
      <c r="Q437" s="6"/>
    </row>
    <row r="438" customFormat="false" ht="15" hidden="false" customHeight="false" outlineLevel="0" collapsed="false">
      <c r="A438" s="6" t="s">
        <v>1612</v>
      </c>
      <c r="B438" s="18" t="s">
        <v>1605</v>
      </c>
      <c r="C438" s="6" t="s">
        <v>1613</v>
      </c>
      <c r="E438" s="19" t="s">
        <v>97</v>
      </c>
      <c r="F438" s="20" t="s">
        <v>93</v>
      </c>
      <c r="G438" s="20" t="s">
        <v>74</v>
      </c>
      <c r="H438" s="20" t="s">
        <v>97</v>
      </c>
      <c r="I438" s="20" t="s">
        <v>97</v>
      </c>
      <c r="J438" s="22" t="n">
        <v>0</v>
      </c>
      <c r="K438" s="29" t="n">
        <v>100</v>
      </c>
      <c r="L438" s="18" t="s">
        <v>98</v>
      </c>
      <c r="M438" s="30"/>
      <c r="N438" s="25" t="str">
        <f aca="false">IF(AND(ISNUMBER(J438),ISNUMBER(K438),ISNUMBER(M438),K438&lt;&gt;J438),MAX(0,MIN(1,(M438-J438)/(K438-J438))),"")</f>
        <v/>
      </c>
      <c r="O438" s="26"/>
      <c r="P438" s="6"/>
      <c r="Q438" s="6"/>
    </row>
    <row r="439" customFormat="false" ht="45" hidden="false" customHeight="true" outlineLevel="0" collapsed="false">
      <c r="A439" s="12" t="s">
        <v>1614</v>
      </c>
      <c r="B439" s="12" t="s">
        <v>1605</v>
      </c>
      <c r="C439" s="13" t="s">
        <v>1615</v>
      </c>
      <c r="D439" s="14" t="s">
        <v>1607</v>
      </c>
      <c r="E439" s="15"/>
      <c r="F439" s="15"/>
      <c r="G439" s="15"/>
      <c r="H439" s="15"/>
      <c r="I439" s="15"/>
      <c r="J439" s="15"/>
      <c r="K439" s="15"/>
      <c r="L439" s="15"/>
      <c r="M439" s="16" t="s">
        <v>66</v>
      </c>
      <c r="N439" s="17" t="n">
        <f aca="false">IFERROR(AVERAGE(N440:N442),"")</f>
        <v>0</v>
      </c>
      <c r="O439" s="14"/>
      <c r="P439" s="14" t="s">
        <v>1616</v>
      </c>
      <c r="Q439" s="14"/>
    </row>
    <row r="440" customFormat="false" ht="15" hidden="false" customHeight="false" outlineLevel="0" collapsed="false">
      <c r="A440" s="6" t="s">
        <v>1617</v>
      </c>
      <c r="B440" s="18" t="s">
        <v>1605</v>
      </c>
      <c r="C440" s="6" t="s">
        <v>524</v>
      </c>
      <c r="E440" s="19" t="s">
        <v>525</v>
      </c>
      <c r="F440" s="20" t="s">
        <v>117</v>
      </c>
      <c r="G440" s="20" t="s">
        <v>118</v>
      </c>
      <c r="H440" s="22" t="n">
        <v>4.67</v>
      </c>
      <c r="I440" s="22" t="n">
        <v>4.28</v>
      </c>
      <c r="J440" s="22" t="n">
        <v>4.28</v>
      </c>
      <c r="K440" s="29" t="n">
        <v>4.066</v>
      </c>
      <c r="L440" s="18" t="s">
        <v>138</v>
      </c>
      <c r="M440" s="27" t="n">
        <v>4.28</v>
      </c>
      <c r="N440" s="25" t="n">
        <f aca="false">IF(AND(ISNUMBER(J440),ISNUMBER(K440),ISNUMBER(M440),K440&lt;&gt;J440),MAX(0,MIN(1,(M440-J440)/(K440-J440))),"")</f>
        <v>-0</v>
      </c>
      <c r="O440" s="26"/>
      <c r="P440" s="6"/>
      <c r="Q440" s="6"/>
    </row>
    <row r="441" customFormat="false" ht="22.35" hidden="false" customHeight="false" outlineLevel="0" collapsed="false">
      <c r="A441" s="6" t="s">
        <v>1618</v>
      </c>
      <c r="B441" s="18" t="s">
        <v>1605</v>
      </c>
      <c r="C441" s="6" t="s">
        <v>1619</v>
      </c>
      <c r="E441" s="19" t="s">
        <v>1620</v>
      </c>
      <c r="F441" s="20" t="s">
        <v>117</v>
      </c>
      <c r="G441" s="20" t="s">
        <v>118</v>
      </c>
      <c r="H441" s="22" t="n">
        <v>35.57</v>
      </c>
      <c r="I441" s="22" t="n">
        <v>3.15</v>
      </c>
      <c r="J441" s="22" t="n">
        <v>3.15</v>
      </c>
      <c r="K441" s="29" t="n">
        <v>2.9925</v>
      </c>
      <c r="L441" s="18" t="s">
        <v>138</v>
      </c>
      <c r="M441" s="27" t="n">
        <v>3.15</v>
      </c>
      <c r="N441" s="25" t="n">
        <f aca="false">IF(AND(ISNUMBER(J441),ISNUMBER(K441),ISNUMBER(M441),K441&lt;&gt;J441),MAX(0,MIN(1,(M441-J441)/(K441-J441))),"")</f>
        <v>-0</v>
      </c>
      <c r="O441" s="31" t="s">
        <v>139</v>
      </c>
      <c r="P441" s="6"/>
      <c r="Q441" s="6"/>
    </row>
    <row r="442" customFormat="false" ht="15" hidden="false" customHeight="false" outlineLevel="0" collapsed="false">
      <c r="A442" s="6" t="s">
        <v>1621</v>
      </c>
      <c r="B442" s="18" t="s">
        <v>1605</v>
      </c>
      <c r="C442" s="6" t="s">
        <v>1622</v>
      </c>
      <c r="E442" s="19" t="s">
        <v>97</v>
      </c>
      <c r="F442" s="20" t="s">
        <v>93</v>
      </c>
      <c r="G442" s="20" t="s">
        <v>74</v>
      </c>
      <c r="H442" s="20" t="s">
        <v>97</v>
      </c>
      <c r="I442" s="20" t="s">
        <v>97</v>
      </c>
      <c r="J442" s="22" t="n">
        <v>0</v>
      </c>
      <c r="K442" s="29" t="n">
        <v>100</v>
      </c>
      <c r="L442" s="18" t="s">
        <v>98</v>
      </c>
      <c r="M442" s="30"/>
      <c r="N442" s="25" t="str">
        <f aca="false">IF(AND(ISNUMBER(J442),ISNUMBER(K442),ISNUMBER(M442),K442&lt;&gt;J442),MAX(0,MIN(1,(M442-J442)/(K442-J442))),"")</f>
        <v/>
      </c>
      <c r="O442" s="26"/>
      <c r="P442" s="6"/>
      <c r="Q442" s="6"/>
    </row>
    <row r="443" customFormat="false" ht="55.5" hidden="false" customHeight="true" outlineLevel="0" collapsed="false">
      <c r="A443" s="12" t="s">
        <v>1623</v>
      </c>
      <c r="B443" s="12" t="s">
        <v>1605</v>
      </c>
      <c r="C443" s="13" t="s">
        <v>1624</v>
      </c>
      <c r="D443" s="14" t="s">
        <v>1625</v>
      </c>
      <c r="E443" s="15"/>
      <c r="F443" s="15"/>
      <c r="G443" s="15"/>
      <c r="H443" s="15"/>
      <c r="I443" s="15"/>
      <c r="J443" s="15"/>
      <c r="K443" s="15"/>
      <c r="L443" s="15"/>
      <c r="M443" s="16" t="s">
        <v>66</v>
      </c>
      <c r="N443" s="17" t="n">
        <f aca="false">IFERROR(AVERAGE(N444:N446),"")</f>
        <v>0.532286902015236</v>
      </c>
      <c r="O443" s="14"/>
      <c r="P443" s="14" t="s">
        <v>1626</v>
      </c>
      <c r="Q443" s="14"/>
    </row>
    <row r="444" customFormat="false" ht="15" hidden="false" customHeight="false" outlineLevel="0" collapsed="false">
      <c r="A444" s="6" t="s">
        <v>1627</v>
      </c>
      <c r="B444" s="18" t="s">
        <v>1605</v>
      </c>
      <c r="C444" s="6" t="s">
        <v>185</v>
      </c>
      <c r="E444" s="19" t="s">
        <v>186</v>
      </c>
      <c r="F444" s="20" t="s">
        <v>73</v>
      </c>
      <c r="G444" s="20" t="s">
        <v>118</v>
      </c>
      <c r="H444" s="21" t="n">
        <v>1852.78</v>
      </c>
      <c r="I444" s="22" t="n">
        <v>936.9</v>
      </c>
      <c r="J444" s="22" t="n">
        <v>0</v>
      </c>
      <c r="K444" s="23" t="n">
        <v>1760.141</v>
      </c>
      <c r="L444" s="18" t="s">
        <v>187</v>
      </c>
      <c r="M444" s="27" t="n">
        <v>936.9</v>
      </c>
      <c r="N444" s="25" t="n">
        <f aca="false">IF(AND(ISNUMBER(J444),ISNUMBER(K444),ISNUMBER(M444),K444&lt;&gt;J444),MAX(0,MIN(1,(M444-J444)/(K444-J444))),"")</f>
        <v>0.532286902015236</v>
      </c>
      <c r="O444" s="26"/>
      <c r="P444" s="6"/>
      <c r="Q444" s="6"/>
    </row>
    <row r="445" customFormat="false" ht="22.35" hidden="false" customHeight="false" outlineLevel="0" collapsed="false">
      <c r="A445" s="6" t="s">
        <v>1628</v>
      </c>
      <c r="B445" s="18" t="s">
        <v>1605</v>
      </c>
      <c r="C445" s="6" t="s">
        <v>1629</v>
      </c>
      <c r="E445" s="19" t="s">
        <v>97</v>
      </c>
      <c r="F445" s="20" t="s">
        <v>93</v>
      </c>
      <c r="G445" s="20" t="s">
        <v>118</v>
      </c>
      <c r="H445" s="20" t="s">
        <v>97</v>
      </c>
      <c r="I445" s="20" t="s">
        <v>97</v>
      </c>
      <c r="J445" s="22" t="n">
        <v>0</v>
      </c>
      <c r="K445" s="29" t="n">
        <v>-5</v>
      </c>
      <c r="L445" s="18" t="s">
        <v>792</v>
      </c>
      <c r="M445" s="30"/>
      <c r="N445" s="25" t="str">
        <f aca="false">IF(AND(ISNUMBER(J445),ISNUMBER(K445),ISNUMBER(M445),K445&lt;&gt;J445),MAX(0,MIN(1,(M445-J445)/(K445-J445))),"")</f>
        <v/>
      </c>
      <c r="O445" s="26"/>
      <c r="P445" s="6"/>
      <c r="Q445" s="6"/>
    </row>
    <row r="446" customFormat="false" ht="15" hidden="false" customHeight="false" outlineLevel="0" collapsed="false">
      <c r="A446" s="6" t="s">
        <v>1630</v>
      </c>
      <c r="B446" s="18" t="s">
        <v>1605</v>
      </c>
      <c r="C446" s="6" t="s">
        <v>1631</v>
      </c>
      <c r="E446" s="19" t="s">
        <v>97</v>
      </c>
      <c r="F446" s="20" t="s">
        <v>93</v>
      </c>
      <c r="G446" s="20" t="s">
        <v>74</v>
      </c>
      <c r="H446" s="20" t="s">
        <v>97</v>
      </c>
      <c r="I446" s="20" t="s">
        <v>97</v>
      </c>
      <c r="J446" s="22" t="n">
        <v>0</v>
      </c>
      <c r="K446" s="29" t="n">
        <v>100</v>
      </c>
      <c r="L446" s="18" t="s">
        <v>98</v>
      </c>
      <c r="M446" s="30"/>
      <c r="N446" s="25" t="str">
        <f aca="false">IF(AND(ISNUMBER(J446),ISNUMBER(K446),ISNUMBER(M446),K446&lt;&gt;J446),MAX(0,MIN(1,(M446-J446)/(K446-J446))),"")</f>
        <v/>
      </c>
      <c r="O446" s="26"/>
      <c r="P446" s="6"/>
      <c r="Q446" s="6"/>
    </row>
    <row r="447" customFormat="false" ht="24" hidden="false" customHeight="true" outlineLevel="0" collapsed="false">
      <c r="A447" s="35" t="s">
        <v>1632</v>
      </c>
      <c r="B447" s="34"/>
      <c r="C447" s="34"/>
      <c r="D447" s="34"/>
      <c r="E447" s="34"/>
      <c r="F447" s="34"/>
      <c r="G447" s="34"/>
      <c r="H447" s="34"/>
      <c r="I447" s="34"/>
      <c r="J447" s="34"/>
      <c r="K447" s="34"/>
      <c r="L447" s="34"/>
      <c r="M447" s="34"/>
      <c r="N447" s="34"/>
      <c r="O447" s="34"/>
      <c r="P447" s="34"/>
      <c r="Q447" s="34"/>
    </row>
    <row r="448" customFormat="false" ht="93" hidden="false" customHeight="true" outlineLevel="0" collapsed="false">
      <c r="A448" s="12" t="s">
        <v>1633</v>
      </c>
      <c r="B448" s="12" t="s">
        <v>1634</v>
      </c>
      <c r="C448" s="13" t="s">
        <v>1635</v>
      </c>
      <c r="D448" s="14" t="s">
        <v>1636</v>
      </c>
      <c r="E448" s="15"/>
      <c r="F448" s="15"/>
      <c r="G448" s="15"/>
      <c r="H448" s="15"/>
      <c r="I448" s="15"/>
      <c r="J448" s="15"/>
      <c r="K448" s="15"/>
      <c r="L448" s="15"/>
      <c r="M448" s="16" t="s">
        <v>66</v>
      </c>
      <c r="N448" s="17" t="n">
        <f aca="false">IFERROR(AVERAGE(N449:N452),"")</f>
        <v>0</v>
      </c>
      <c r="O448" s="14"/>
      <c r="P448" s="14" t="s">
        <v>1637</v>
      </c>
      <c r="Q448" s="14" t="s">
        <v>1638</v>
      </c>
    </row>
    <row r="449" customFormat="false" ht="15" hidden="false" customHeight="false" outlineLevel="0" collapsed="false">
      <c r="A449" s="6" t="s">
        <v>1639</v>
      </c>
      <c r="B449" s="18" t="s">
        <v>1634</v>
      </c>
      <c r="C449" s="6" t="s">
        <v>181</v>
      </c>
      <c r="E449" s="19" t="s">
        <v>507</v>
      </c>
      <c r="F449" s="20" t="s">
        <v>183</v>
      </c>
      <c r="G449" s="20" t="s">
        <v>74</v>
      </c>
      <c r="H449" s="22" t="n">
        <v>41.63</v>
      </c>
      <c r="I449" s="22" t="n">
        <v>29.76</v>
      </c>
      <c r="J449" s="22" t="n">
        <v>29.76</v>
      </c>
      <c r="K449" s="28" t="n">
        <v>44.84</v>
      </c>
      <c r="L449" s="18" t="s">
        <v>119</v>
      </c>
      <c r="M449" s="27" t="n">
        <v>29.76</v>
      </c>
      <c r="N449" s="25" t="n">
        <f aca="false">IF(AND(ISNUMBER(J449),ISNUMBER(K449),ISNUMBER(M449),K449&lt;&gt;J449),MAX(0,MIN(1,(M449-J449)/(K449-J449))),"")</f>
        <v>0</v>
      </c>
      <c r="O449" s="26"/>
      <c r="P449" s="6"/>
      <c r="Q449" s="6"/>
    </row>
    <row r="450" customFormat="false" ht="15" hidden="false" customHeight="false" outlineLevel="0" collapsed="false">
      <c r="A450" s="6" t="s">
        <v>1640</v>
      </c>
      <c r="B450" s="18" t="s">
        <v>1634</v>
      </c>
      <c r="C450" s="6" t="s">
        <v>1641</v>
      </c>
      <c r="E450" s="19" t="s">
        <v>1642</v>
      </c>
      <c r="F450" s="20" t="s">
        <v>910</v>
      </c>
      <c r="G450" s="20" t="s">
        <v>118</v>
      </c>
      <c r="H450" s="20" t="s">
        <v>97</v>
      </c>
      <c r="I450" s="20" t="s">
        <v>97</v>
      </c>
      <c r="J450" s="20" t="s">
        <v>97</v>
      </c>
      <c r="K450" s="29" t="n">
        <v>0</v>
      </c>
      <c r="L450" s="18" t="s">
        <v>481</v>
      </c>
      <c r="M450" s="30"/>
      <c r="N450" s="25" t="str">
        <f aca="false">IF(AND(ISNUMBER(J450),ISNUMBER(K450),ISNUMBER(M450),K450&lt;&gt;J450),MAX(0,MIN(1,(M450-J450)/(K450-J450))),"")</f>
        <v/>
      </c>
      <c r="O450" s="31" t="s">
        <v>1643</v>
      </c>
      <c r="P450" s="6"/>
      <c r="Q450" s="6"/>
    </row>
    <row r="451" customFormat="false" ht="15" hidden="false" customHeight="false" outlineLevel="0" collapsed="false">
      <c r="A451" s="6" t="s">
        <v>1644</v>
      </c>
      <c r="B451" s="18" t="s">
        <v>1634</v>
      </c>
      <c r="C451" s="6" t="s">
        <v>1645</v>
      </c>
      <c r="E451" s="19" t="s">
        <v>97</v>
      </c>
      <c r="F451" s="20" t="s">
        <v>79</v>
      </c>
      <c r="G451" s="20" t="s">
        <v>74</v>
      </c>
      <c r="H451" s="20" t="s">
        <v>97</v>
      </c>
      <c r="I451" s="20" t="s">
        <v>97</v>
      </c>
      <c r="J451" s="22" t="n">
        <v>0</v>
      </c>
      <c r="K451" s="29" t="n">
        <v>2</v>
      </c>
      <c r="L451" s="18" t="s">
        <v>98</v>
      </c>
      <c r="M451" s="30"/>
      <c r="N451" s="25" t="str">
        <f aca="false">IF(AND(ISNUMBER(J451),ISNUMBER(K451),ISNUMBER(M451),K451&lt;&gt;J451),MAX(0,MIN(1,(M451-J451)/(K451-J451))),"")</f>
        <v/>
      </c>
      <c r="O451" s="26"/>
      <c r="P451" s="6"/>
      <c r="Q451" s="6"/>
    </row>
    <row r="452" customFormat="false" ht="15" hidden="false" customHeight="false" outlineLevel="0" collapsed="false">
      <c r="A452" s="6" t="s">
        <v>1646</v>
      </c>
      <c r="B452" s="18" t="s">
        <v>1634</v>
      </c>
      <c r="C452" s="6" t="s">
        <v>1647</v>
      </c>
      <c r="E452" s="19" t="s">
        <v>97</v>
      </c>
      <c r="F452" s="20" t="s">
        <v>93</v>
      </c>
      <c r="G452" s="20" t="s">
        <v>74</v>
      </c>
      <c r="H452" s="20" t="s">
        <v>97</v>
      </c>
      <c r="I452" s="20" t="s">
        <v>97</v>
      </c>
      <c r="J452" s="22" t="n">
        <v>0</v>
      </c>
      <c r="K452" s="29" t="n">
        <v>100</v>
      </c>
      <c r="L452" s="18" t="s">
        <v>98</v>
      </c>
      <c r="M452" s="30"/>
      <c r="N452" s="25" t="str">
        <f aca="false">IF(AND(ISNUMBER(J452),ISNUMBER(K452),ISNUMBER(M452),K452&lt;&gt;J452),MAX(0,MIN(1,(M452-J452)/(K452-J452))),"")</f>
        <v/>
      </c>
      <c r="O452" s="26"/>
      <c r="P452" s="6"/>
      <c r="Q452" s="6"/>
    </row>
    <row r="453" customFormat="false" ht="156" hidden="false" customHeight="true" outlineLevel="0" collapsed="false">
      <c r="A453" s="12" t="s">
        <v>1648</v>
      </c>
      <c r="B453" s="12" t="s">
        <v>1634</v>
      </c>
      <c r="C453" s="13" t="s">
        <v>1649</v>
      </c>
      <c r="D453" s="14" t="s">
        <v>1636</v>
      </c>
      <c r="E453" s="15"/>
      <c r="F453" s="15"/>
      <c r="G453" s="15"/>
      <c r="H453" s="15"/>
      <c r="I453" s="15"/>
      <c r="J453" s="15"/>
      <c r="K453" s="15"/>
      <c r="L453" s="15"/>
      <c r="M453" s="16" t="s">
        <v>66</v>
      </c>
      <c r="N453" s="17" t="n">
        <f aca="false">IFERROR(AVERAGE(N454:N459),"")</f>
        <v>0</v>
      </c>
      <c r="O453" s="14"/>
      <c r="P453" s="14" t="s">
        <v>1650</v>
      </c>
      <c r="Q453" s="14" t="s">
        <v>1651</v>
      </c>
    </row>
    <row r="454" customFormat="false" ht="15" hidden="false" customHeight="false" outlineLevel="0" collapsed="false">
      <c r="A454" s="6" t="s">
        <v>1652</v>
      </c>
      <c r="B454" s="18" t="s">
        <v>1634</v>
      </c>
      <c r="C454" s="6" t="s">
        <v>509</v>
      </c>
      <c r="E454" s="19" t="s">
        <v>510</v>
      </c>
      <c r="F454" s="20" t="s">
        <v>93</v>
      </c>
      <c r="G454" s="20" t="s">
        <v>74</v>
      </c>
      <c r="H454" s="22" t="n">
        <v>87</v>
      </c>
      <c r="I454" s="22" t="n">
        <v>87</v>
      </c>
      <c r="J454" s="22" t="n">
        <v>87</v>
      </c>
      <c r="K454" s="29" t="n">
        <v>91.35</v>
      </c>
      <c r="L454" s="18" t="s">
        <v>138</v>
      </c>
      <c r="M454" s="27" t="n">
        <v>87</v>
      </c>
      <c r="N454" s="25" t="n">
        <f aca="false">IF(AND(ISNUMBER(J454),ISNUMBER(K454),ISNUMBER(M454),K454&lt;&gt;J454),MAX(0,MIN(1,(M454-J454)/(K454-J454))),"")</f>
        <v>0</v>
      </c>
      <c r="O454" s="26"/>
      <c r="P454" s="6"/>
      <c r="Q454" s="6"/>
    </row>
    <row r="455" customFormat="false" ht="15" hidden="false" customHeight="false" outlineLevel="0" collapsed="false">
      <c r="A455" s="6" t="s">
        <v>1653</v>
      </c>
      <c r="B455" s="18" t="s">
        <v>1634</v>
      </c>
      <c r="C455" s="6" t="s">
        <v>1654</v>
      </c>
      <c r="E455" s="19" t="s">
        <v>1655</v>
      </c>
      <c r="F455" s="20" t="s">
        <v>93</v>
      </c>
      <c r="G455" s="20" t="s">
        <v>74</v>
      </c>
      <c r="H455" s="20" t="s">
        <v>97</v>
      </c>
      <c r="I455" s="22" t="n">
        <v>100</v>
      </c>
      <c r="J455" s="22" t="n">
        <v>100</v>
      </c>
      <c r="K455" s="28" t="n">
        <v>100</v>
      </c>
      <c r="L455" s="18" t="s">
        <v>405</v>
      </c>
      <c r="M455" s="27" t="n">
        <v>100</v>
      </c>
      <c r="N455" s="25" t="str">
        <f aca="false">IF(AND(ISNUMBER(J455),ISNUMBER(K455),ISNUMBER(M455),K455&lt;&gt;J455),MAX(0,MIN(1,(M455-J455)/(K455-J455))),"")</f>
        <v/>
      </c>
      <c r="O455" s="26"/>
      <c r="P455" s="6"/>
      <c r="Q455" s="6"/>
    </row>
    <row r="456" customFormat="false" ht="15" hidden="false" customHeight="false" outlineLevel="0" collapsed="false">
      <c r="A456" s="6" t="s">
        <v>1656</v>
      </c>
      <c r="B456" s="18" t="s">
        <v>1634</v>
      </c>
      <c r="C456" s="6" t="s">
        <v>1657</v>
      </c>
      <c r="E456" s="19" t="s">
        <v>1658</v>
      </c>
      <c r="F456" s="20" t="s">
        <v>93</v>
      </c>
      <c r="G456" s="20" t="s">
        <v>74</v>
      </c>
      <c r="H456" s="22" t="n">
        <v>100</v>
      </c>
      <c r="I456" s="22" t="n">
        <v>100</v>
      </c>
      <c r="J456" s="22" t="n">
        <v>100</v>
      </c>
      <c r="K456" s="28" t="n">
        <v>100</v>
      </c>
      <c r="L456" s="18" t="s">
        <v>405</v>
      </c>
      <c r="M456" s="27" t="n">
        <v>100</v>
      </c>
      <c r="N456" s="25" t="str">
        <f aca="false">IF(AND(ISNUMBER(J456),ISNUMBER(K456),ISNUMBER(M456),K456&lt;&gt;J456),MAX(0,MIN(1,(M456-J456)/(K456-J456))),"")</f>
        <v/>
      </c>
      <c r="O456" s="26"/>
      <c r="P456" s="6"/>
      <c r="Q456" s="6"/>
    </row>
    <row r="457" customFormat="false" ht="22.35" hidden="false" customHeight="false" outlineLevel="0" collapsed="false">
      <c r="A457" s="6" t="s">
        <v>1659</v>
      </c>
      <c r="B457" s="18" t="s">
        <v>1634</v>
      </c>
      <c r="C457" s="6" t="s">
        <v>1660</v>
      </c>
      <c r="E457" s="19" t="s">
        <v>1661</v>
      </c>
      <c r="F457" s="20" t="s">
        <v>93</v>
      </c>
      <c r="G457" s="20" t="s">
        <v>74</v>
      </c>
      <c r="H457" s="20" t="s">
        <v>97</v>
      </c>
      <c r="I457" s="20" t="s">
        <v>97</v>
      </c>
      <c r="J457" s="20" t="s">
        <v>97</v>
      </c>
      <c r="K457" s="36" t="s">
        <v>1097</v>
      </c>
      <c r="L457" s="18" t="s">
        <v>149</v>
      </c>
      <c r="M457" s="30"/>
      <c r="N457" s="25" t="str">
        <f aca="false">IF(AND(ISNUMBER(J457),ISNUMBER(K457),ISNUMBER(M457),K457&lt;&gt;J457),MAX(0,MIN(1,(M457-J457)/(K457-J457))),"")</f>
        <v/>
      </c>
      <c r="O457" s="31" t="s">
        <v>1099</v>
      </c>
      <c r="P457" s="6"/>
      <c r="Q457" s="6"/>
    </row>
    <row r="458" customFormat="false" ht="15" hidden="false" customHeight="false" outlineLevel="0" collapsed="false">
      <c r="A458" s="6" t="s">
        <v>1662</v>
      </c>
      <c r="B458" s="18" t="s">
        <v>1634</v>
      </c>
      <c r="C458" s="6" t="s">
        <v>1663</v>
      </c>
      <c r="E458" s="19" t="s">
        <v>1664</v>
      </c>
      <c r="F458" s="20" t="s">
        <v>93</v>
      </c>
      <c r="G458" s="20" t="s">
        <v>74</v>
      </c>
      <c r="H458" s="20" t="s">
        <v>97</v>
      </c>
      <c r="I458" s="20" t="s">
        <v>97</v>
      </c>
      <c r="J458" s="20" t="s">
        <v>97</v>
      </c>
      <c r="K458" s="28" t="n">
        <v>45</v>
      </c>
      <c r="L458" s="18" t="s">
        <v>250</v>
      </c>
      <c r="M458" s="30"/>
      <c r="N458" s="25" t="str">
        <f aca="false">IF(AND(ISNUMBER(J458),ISNUMBER(K458),ISNUMBER(M458),K458&lt;&gt;J458),MAX(0,MIN(1,(M458-J458)/(K458-J458))),"")</f>
        <v/>
      </c>
      <c r="O458" s="26"/>
      <c r="P458" s="6"/>
      <c r="Q458" s="6"/>
    </row>
    <row r="459" customFormat="false" ht="23.85" hidden="false" customHeight="false" outlineLevel="0" collapsed="false">
      <c r="A459" s="6" t="s">
        <v>1665</v>
      </c>
      <c r="B459" s="18" t="s">
        <v>1634</v>
      </c>
      <c r="C459" s="6" t="s">
        <v>177</v>
      </c>
      <c r="E459" s="19" t="s">
        <v>505</v>
      </c>
      <c r="F459" s="20" t="s">
        <v>179</v>
      </c>
      <c r="G459" s="20" t="s">
        <v>74</v>
      </c>
      <c r="H459" s="22" t="n">
        <v>68.6</v>
      </c>
      <c r="I459" s="20" t="s">
        <v>97</v>
      </c>
      <c r="J459" s="22" t="n">
        <v>68.6</v>
      </c>
      <c r="K459" s="28" t="n">
        <v>70</v>
      </c>
      <c r="L459" s="18" t="s">
        <v>94</v>
      </c>
      <c r="M459" s="30"/>
      <c r="N459" s="25" t="str">
        <f aca="false">IF(AND(ISNUMBER(J459),ISNUMBER(K459),ISNUMBER(M459),K459&lt;&gt;J459),MAX(0,MIN(1,(M459-J459)/(K459-J459))),"")</f>
        <v/>
      </c>
      <c r="O459" s="26"/>
      <c r="P459" s="6"/>
      <c r="Q459" s="6"/>
    </row>
    <row r="460" customFormat="false" ht="205.5" hidden="false" customHeight="true" outlineLevel="0" collapsed="false">
      <c r="A460" s="12" t="s">
        <v>1666</v>
      </c>
      <c r="B460" s="12" t="s">
        <v>1634</v>
      </c>
      <c r="C460" s="13" t="s">
        <v>1667</v>
      </c>
      <c r="D460" s="14" t="s">
        <v>1625</v>
      </c>
      <c r="E460" s="15"/>
      <c r="F460" s="15"/>
      <c r="G460" s="15"/>
      <c r="H460" s="15"/>
      <c r="I460" s="15"/>
      <c r="J460" s="15"/>
      <c r="K460" s="15"/>
      <c r="L460" s="15"/>
      <c r="M460" s="16" t="s">
        <v>66</v>
      </c>
      <c r="N460" s="17" t="n">
        <f aca="false">IFERROR(AVERAGE(N461:N464),"")</f>
        <v>0</v>
      </c>
      <c r="O460" s="14"/>
      <c r="P460" s="14" t="s">
        <v>1668</v>
      </c>
      <c r="Q460" s="14" t="s">
        <v>1669</v>
      </c>
    </row>
    <row r="461" customFormat="false" ht="15" hidden="false" customHeight="false" outlineLevel="0" collapsed="false">
      <c r="A461" s="6" t="s">
        <v>1670</v>
      </c>
      <c r="B461" s="18" t="s">
        <v>1634</v>
      </c>
      <c r="C461" s="6" t="s">
        <v>533</v>
      </c>
      <c r="E461" s="19" t="s">
        <v>534</v>
      </c>
      <c r="F461" s="20" t="s">
        <v>93</v>
      </c>
      <c r="G461" s="20" t="s">
        <v>74</v>
      </c>
      <c r="H461" s="20" t="s">
        <v>97</v>
      </c>
      <c r="I461" s="20" t="s">
        <v>97</v>
      </c>
      <c r="J461" s="20" t="s">
        <v>97</v>
      </c>
      <c r="K461" s="28" t="n">
        <v>54</v>
      </c>
      <c r="L461" s="18" t="s">
        <v>250</v>
      </c>
      <c r="M461" s="30"/>
      <c r="N461" s="25" t="str">
        <f aca="false">IF(AND(ISNUMBER(J461),ISNUMBER(K461),ISNUMBER(M461),K461&lt;&gt;J461),MAX(0,MIN(1,(M461-J461)/(K461-J461))),"")</f>
        <v/>
      </c>
      <c r="O461" s="26"/>
      <c r="P461" s="6"/>
      <c r="Q461" s="6"/>
    </row>
    <row r="462" customFormat="false" ht="15" hidden="false" customHeight="false" outlineLevel="0" collapsed="false">
      <c r="A462" s="6" t="s">
        <v>1671</v>
      </c>
      <c r="B462" s="18" t="s">
        <v>1634</v>
      </c>
      <c r="C462" s="6" t="s">
        <v>1672</v>
      </c>
      <c r="E462" s="19" t="s">
        <v>1673</v>
      </c>
      <c r="F462" s="20" t="s">
        <v>93</v>
      </c>
      <c r="G462" s="20" t="s">
        <v>118</v>
      </c>
      <c r="H462" s="20" t="s">
        <v>97</v>
      </c>
      <c r="I462" s="20" t="s">
        <v>97</v>
      </c>
      <c r="J462" s="20" t="s">
        <v>97</v>
      </c>
      <c r="K462" s="29" t="n">
        <v>0</v>
      </c>
      <c r="L462" s="18" t="s">
        <v>481</v>
      </c>
      <c r="M462" s="30"/>
      <c r="N462" s="25" t="str">
        <f aca="false">IF(AND(ISNUMBER(J462),ISNUMBER(K462),ISNUMBER(M462),K462&lt;&gt;J462),MAX(0,MIN(1,(M462-J462)/(K462-J462))),"")</f>
        <v/>
      </c>
      <c r="O462" s="31" t="s">
        <v>1643</v>
      </c>
      <c r="P462" s="6"/>
      <c r="Q462" s="6"/>
    </row>
    <row r="463" customFormat="false" ht="15" hidden="false" customHeight="false" outlineLevel="0" collapsed="false">
      <c r="A463" s="6" t="s">
        <v>1674</v>
      </c>
      <c r="B463" s="18" t="s">
        <v>1634</v>
      </c>
      <c r="C463" s="6" t="s">
        <v>530</v>
      </c>
      <c r="E463" s="19" t="s">
        <v>531</v>
      </c>
      <c r="F463" s="20" t="s">
        <v>93</v>
      </c>
      <c r="G463" s="20" t="s">
        <v>74</v>
      </c>
      <c r="H463" s="22" t="n">
        <v>31.75</v>
      </c>
      <c r="I463" s="22" t="n">
        <v>35.93</v>
      </c>
      <c r="J463" s="22" t="n">
        <v>35.93</v>
      </c>
      <c r="K463" s="29" t="n">
        <v>37.7265</v>
      </c>
      <c r="L463" s="18" t="s">
        <v>138</v>
      </c>
      <c r="M463" s="27" t="n">
        <v>35.93</v>
      </c>
      <c r="N463" s="25" t="n">
        <f aca="false">IF(AND(ISNUMBER(J463),ISNUMBER(K463),ISNUMBER(M463),K463&lt;&gt;J463),MAX(0,MIN(1,(M463-J463)/(K463-J463))),"")</f>
        <v>0</v>
      </c>
      <c r="O463" s="26"/>
      <c r="P463" s="6"/>
      <c r="Q463" s="6"/>
    </row>
    <row r="464" customFormat="false" ht="22.35" hidden="false" customHeight="false" outlineLevel="0" collapsed="false">
      <c r="A464" s="6" t="s">
        <v>1675</v>
      </c>
      <c r="B464" s="18" t="s">
        <v>1634</v>
      </c>
      <c r="C464" s="6" t="s">
        <v>1676</v>
      </c>
      <c r="E464" s="19" t="s">
        <v>1677</v>
      </c>
      <c r="F464" s="20" t="s">
        <v>93</v>
      </c>
      <c r="G464" s="20" t="s">
        <v>74</v>
      </c>
      <c r="H464" s="22" t="n">
        <v>98</v>
      </c>
      <c r="I464" s="22" t="n">
        <v>1.76</v>
      </c>
      <c r="J464" s="22" t="n">
        <v>1.76</v>
      </c>
      <c r="K464" s="28" t="n">
        <v>5</v>
      </c>
      <c r="L464" s="18" t="s">
        <v>119</v>
      </c>
      <c r="M464" s="27" t="n">
        <v>1.76</v>
      </c>
      <c r="N464" s="25" t="n">
        <f aca="false">IF(AND(ISNUMBER(J464),ISNUMBER(K464),ISNUMBER(M464),K464&lt;&gt;J464),MAX(0,MIN(1,(M464-J464)/(K464-J464))),"")</f>
        <v>0</v>
      </c>
      <c r="O464" s="31" t="s">
        <v>139</v>
      </c>
      <c r="P464" s="6"/>
      <c r="Q464" s="6"/>
    </row>
  </sheetData>
  <autoFilter ref="A4:Q4"/>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K1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11"/>
    <col collapsed="false" customWidth="true" hidden="false" outlineLevel="0" max="4" min="4" style="0" width="50"/>
    <col collapsed="false" customWidth="true" hidden="false" outlineLevel="0" max="5" min="5" style="0" width="10"/>
    <col collapsed="false" customWidth="true" hidden="false" outlineLevel="0" max="6" min="6" style="0" width="42"/>
    <col collapsed="false" customWidth="true" hidden="false" outlineLevel="0" max="7" min="7" style="0" width="9"/>
    <col collapsed="false" customWidth="true" hidden="false" outlineLevel="0" max="8" min="8" style="0" width="40"/>
    <col collapsed="false" customWidth="true" hidden="false" outlineLevel="0" max="9" min="9" style="0" width="8"/>
    <col collapsed="false" customWidth="true" hidden="false" outlineLevel="0" max="10" min="10" style="0" width="60"/>
    <col collapsed="false" customWidth="true" hidden="false" outlineLevel="0" max="11" min="11" style="0" width="40"/>
  </cols>
  <sheetData>
    <row r="1" customFormat="false" ht="23.85" hidden="false" customHeight="false" outlineLevel="0" collapsed="false">
      <c r="A1" s="11" t="s">
        <v>1678</v>
      </c>
      <c r="B1" s="11" t="s">
        <v>1679</v>
      </c>
      <c r="C1" s="11" t="s">
        <v>1680</v>
      </c>
      <c r="D1" s="11" t="s">
        <v>1681</v>
      </c>
      <c r="E1" s="11" t="s">
        <v>1682</v>
      </c>
      <c r="F1" s="11" t="s">
        <v>1683</v>
      </c>
      <c r="G1" s="11" t="s">
        <v>1684</v>
      </c>
      <c r="H1" s="11" t="s">
        <v>1685</v>
      </c>
      <c r="I1" s="11" t="s">
        <v>1686</v>
      </c>
      <c r="J1" s="11" t="s">
        <v>1687</v>
      </c>
      <c r="K1" s="11" t="s">
        <v>1688</v>
      </c>
    </row>
    <row r="2" customFormat="false" ht="51.75" hidden="false" customHeight="true" outlineLevel="0" collapsed="false">
      <c r="A2" s="18" t="s">
        <v>199</v>
      </c>
      <c r="B2" s="18" t="s">
        <v>541</v>
      </c>
      <c r="C2" s="18" t="s">
        <v>540</v>
      </c>
      <c r="D2" s="18" t="s">
        <v>1689</v>
      </c>
      <c r="E2" s="18" t="s">
        <v>198</v>
      </c>
      <c r="F2" s="18" t="s">
        <v>1690</v>
      </c>
      <c r="G2" s="18" t="s">
        <v>123</v>
      </c>
      <c r="H2" s="18" t="s">
        <v>1691</v>
      </c>
      <c r="I2" s="18" t="n">
        <v>2</v>
      </c>
      <c r="J2" s="18" t="s">
        <v>544</v>
      </c>
      <c r="K2" s="18" t="s">
        <v>545</v>
      </c>
    </row>
    <row r="3" customFormat="false" ht="39.75" hidden="false" customHeight="true" outlineLevel="0" collapsed="false">
      <c r="A3" s="18" t="s">
        <v>199</v>
      </c>
      <c r="B3" s="18" t="s">
        <v>541</v>
      </c>
      <c r="C3" s="18" t="s">
        <v>549</v>
      </c>
      <c r="D3" s="18" t="s">
        <v>1692</v>
      </c>
      <c r="E3" s="18" t="s">
        <v>198</v>
      </c>
      <c r="F3" s="18" t="s">
        <v>1690</v>
      </c>
      <c r="G3" s="18" t="s">
        <v>123</v>
      </c>
      <c r="H3" s="18" t="s">
        <v>1691</v>
      </c>
      <c r="I3" s="18" t="n">
        <v>2</v>
      </c>
      <c r="J3" s="18" t="s">
        <v>551</v>
      </c>
      <c r="K3" s="18" t="s">
        <v>552</v>
      </c>
    </row>
    <row r="4" customFormat="false" ht="51.75" hidden="false" customHeight="true" outlineLevel="0" collapsed="false">
      <c r="A4" s="18" t="s">
        <v>199</v>
      </c>
      <c r="B4" s="18" t="s">
        <v>541</v>
      </c>
      <c r="C4" s="18" t="s">
        <v>556</v>
      </c>
      <c r="D4" s="18" t="s">
        <v>1693</v>
      </c>
      <c r="E4" s="18" t="s">
        <v>198</v>
      </c>
      <c r="F4" s="18" t="s">
        <v>1690</v>
      </c>
      <c r="G4" s="18" t="s">
        <v>123</v>
      </c>
      <c r="H4" s="18" t="s">
        <v>1691</v>
      </c>
      <c r="I4" s="18" t="n">
        <v>3</v>
      </c>
      <c r="J4" s="18" t="s">
        <v>558</v>
      </c>
      <c r="K4" s="18" t="s">
        <v>559</v>
      </c>
    </row>
    <row r="5" customFormat="false" ht="39.75" hidden="false" customHeight="true" outlineLevel="0" collapsed="false">
      <c r="A5" s="18" t="s">
        <v>199</v>
      </c>
      <c r="B5" s="18" t="s">
        <v>541</v>
      </c>
      <c r="C5" s="18" t="s">
        <v>566</v>
      </c>
      <c r="D5" s="18" t="s">
        <v>1694</v>
      </c>
      <c r="E5" s="18" t="s">
        <v>198</v>
      </c>
      <c r="F5" s="18" t="s">
        <v>1690</v>
      </c>
      <c r="G5" s="18" t="s">
        <v>123</v>
      </c>
      <c r="H5" s="18" t="s">
        <v>1691</v>
      </c>
      <c r="I5" s="18" t="n">
        <v>3</v>
      </c>
      <c r="J5" s="18" t="s">
        <v>568</v>
      </c>
      <c r="K5" s="18" t="s">
        <v>569</v>
      </c>
    </row>
    <row r="6" customFormat="false" ht="39.75" hidden="false" customHeight="true" outlineLevel="0" collapsed="false">
      <c r="A6" s="18" t="s">
        <v>199</v>
      </c>
      <c r="B6" s="18" t="s">
        <v>580</v>
      </c>
      <c r="C6" s="18" t="s">
        <v>579</v>
      </c>
      <c r="D6" s="18" t="s">
        <v>1695</v>
      </c>
      <c r="E6" s="18" t="s">
        <v>225</v>
      </c>
      <c r="F6" s="18" t="s">
        <v>1696</v>
      </c>
      <c r="G6" s="18" t="s">
        <v>99</v>
      </c>
      <c r="H6" s="18" t="s">
        <v>1697</v>
      </c>
      <c r="I6" s="18" t="n">
        <v>2</v>
      </c>
      <c r="J6" s="18" t="s">
        <v>583</v>
      </c>
      <c r="K6" s="18" t="s">
        <v>584</v>
      </c>
    </row>
    <row r="7" customFormat="false" ht="39.75" hidden="false" customHeight="true" outlineLevel="0" collapsed="false">
      <c r="A7" s="18" t="s">
        <v>199</v>
      </c>
      <c r="B7" s="18" t="s">
        <v>580</v>
      </c>
      <c r="C7" s="18" t="s">
        <v>589</v>
      </c>
      <c r="D7" s="18" t="s">
        <v>1698</v>
      </c>
      <c r="E7" s="18" t="s">
        <v>225</v>
      </c>
      <c r="F7" s="18" t="s">
        <v>1696</v>
      </c>
      <c r="G7" s="18" t="s">
        <v>99</v>
      </c>
      <c r="H7" s="18" t="s">
        <v>1697</v>
      </c>
      <c r="I7" s="18" t="n">
        <v>2</v>
      </c>
      <c r="J7" s="18" t="s">
        <v>591</v>
      </c>
      <c r="K7" s="18"/>
    </row>
    <row r="8" customFormat="false" ht="51.75" hidden="false" customHeight="true" outlineLevel="0" collapsed="false">
      <c r="A8" s="18" t="s">
        <v>199</v>
      </c>
      <c r="B8" s="18" t="s">
        <v>580</v>
      </c>
      <c r="C8" s="18" t="s">
        <v>596</v>
      </c>
      <c r="D8" s="18" t="s">
        <v>1699</v>
      </c>
      <c r="E8" s="18" t="s">
        <v>225</v>
      </c>
      <c r="F8" s="18" t="s">
        <v>1696</v>
      </c>
      <c r="G8" s="18" t="s">
        <v>99</v>
      </c>
      <c r="H8" s="18" t="s">
        <v>1697</v>
      </c>
      <c r="I8" s="18" t="n">
        <v>2</v>
      </c>
      <c r="J8" s="18" t="s">
        <v>598</v>
      </c>
      <c r="K8" s="18" t="s">
        <v>599</v>
      </c>
    </row>
    <row r="9" customFormat="false" ht="51.75" hidden="false" customHeight="true" outlineLevel="0" collapsed="false">
      <c r="A9" s="18" t="s">
        <v>199</v>
      </c>
      <c r="B9" s="18" t="s">
        <v>580</v>
      </c>
      <c r="C9" s="18" t="s">
        <v>604</v>
      </c>
      <c r="D9" s="18" t="s">
        <v>1700</v>
      </c>
      <c r="E9" s="18" t="s">
        <v>225</v>
      </c>
      <c r="F9" s="18" t="s">
        <v>1696</v>
      </c>
      <c r="G9" s="18" t="s">
        <v>99</v>
      </c>
      <c r="H9" s="18" t="s">
        <v>1697</v>
      </c>
      <c r="I9" s="18" t="n">
        <v>3</v>
      </c>
      <c r="J9" s="18" t="s">
        <v>606</v>
      </c>
      <c r="K9" s="18" t="s">
        <v>607</v>
      </c>
    </row>
    <row r="10" customFormat="false" ht="51.75" hidden="false" customHeight="true" outlineLevel="0" collapsed="false">
      <c r="A10" s="18" t="s">
        <v>199</v>
      </c>
      <c r="B10" s="18" t="s">
        <v>617</v>
      </c>
      <c r="C10" s="18" t="s">
        <v>616</v>
      </c>
      <c r="D10" s="18" t="s">
        <v>1701</v>
      </c>
      <c r="E10" s="18" t="s">
        <v>212</v>
      </c>
      <c r="F10" s="18" t="s">
        <v>1702</v>
      </c>
      <c r="G10" s="18" t="s">
        <v>123</v>
      </c>
      <c r="H10" s="18" t="s">
        <v>1691</v>
      </c>
      <c r="I10" s="18" t="n">
        <v>4</v>
      </c>
      <c r="J10" s="18" t="s">
        <v>620</v>
      </c>
      <c r="K10" s="18" t="s">
        <v>621</v>
      </c>
    </row>
    <row r="11" customFormat="false" ht="39.75" hidden="false" customHeight="true" outlineLevel="0" collapsed="false">
      <c r="A11" s="18" t="s">
        <v>199</v>
      </c>
      <c r="B11" s="18" t="s">
        <v>617</v>
      </c>
      <c r="C11" s="18" t="s">
        <v>630</v>
      </c>
      <c r="D11" s="18" t="s">
        <v>1703</v>
      </c>
      <c r="E11" s="18" t="s">
        <v>212</v>
      </c>
      <c r="F11" s="18" t="s">
        <v>1702</v>
      </c>
      <c r="G11" s="18" t="s">
        <v>123</v>
      </c>
      <c r="H11" s="18" t="s">
        <v>1691</v>
      </c>
      <c r="I11" s="18" t="n">
        <v>3</v>
      </c>
      <c r="J11" s="18" t="s">
        <v>632</v>
      </c>
      <c r="K11" s="18" t="s">
        <v>633</v>
      </c>
    </row>
    <row r="12" customFormat="false" ht="39.75" hidden="false" customHeight="true" outlineLevel="0" collapsed="false">
      <c r="A12" s="18" t="s">
        <v>199</v>
      </c>
      <c r="B12" s="18" t="s">
        <v>617</v>
      </c>
      <c r="C12" s="18" t="s">
        <v>640</v>
      </c>
      <c r="D12" s="18" t="s">
        <v>1704</v>
      </c>
      <c r="E12" s="18" t="s">
        <v>212</v>
      </c>
      <c r="F12" s="18" t="s">
        <v>1702</v>
      </c>
      <c r="G12" s="18" t="s">
        <v>123</v>
      </c>
      <c r="H12" s="18" t="s">
        <v>1691</v>
      </c>
      <c r="I12" s="18" t="n">
        <v>3</v>
      </c>
      <c r="J12" s="18" t="s">
        <v>642</v>
      </c>
      <c r="K12" s="18" t="s">
        <v>643</v>
      </c>
    </row>
    <row r="13" customFormat="false" ht="39.75" hidden="false" customHeight="true" outlineLevel="0" collapsed="false">
      <c r="A13" s="18" t="s">
        <v>199</v>
      </c>
      <c r="B13" s="18" t="s">
        <v>617</v>
      </c>
      <c r="C13" s="18" t="s">
        <v>651</v>
      </c>
      <c r="D13" s="18" t="s">
        <v>1705</v>
      </c>
      <c r="E13" s="18" t="s">
        <v>212</v>
      </c>
      <c r="F13" s="18" t="s">
        <v>1702</v>
      </c>
      <c r="G13" s="18" t="s">
        <v>123</v>
      </c>
      <c r="H13" s="18" t="s">
        <v>1691</v>
      </c>
      <c r="I13" s="18" t="n">
        <v>2</v>
      </c>
      <c r="J13" s="18" t="s">
        <v>653</v>
      </c>
      <c r="K13" s="18" t="s">
        <v>654</v>
      </c>
    </row>
    <row r="14" customFormat="false" ht="51.75" hidden="false" customHeight="true" outlineLevel="0" collapsed="false">
      <c r="A14" s="18" t="s">
        <v>199</v>
      </c>
      <c r="B14" s="18" t="s">
        <v>662</v>
      </c>
      <c r="C14" s="18" t="s">
        <v>661</v>
      </c>
      <c r="D14" s="18" t="s">
        <v>1706</v>
      </c>
      <c r="E14" s="18" t="s">
        <v>225</v>
      </c>
      <c r="F14" s="18" t="s">
        <v>1696</v>
      </c>
      <c r="G14" s="18" t="s">
        <v>99</v>
      </c>
      <c r="H14" s="18" t="s">
        <v>1697</v>
      </c>
      <c r="I14" s="18" t="n">
        <v>2</v>
      </c>
      <c r="J14" s="18" t="s">
        <v>664</v>
      </c>
      <c r="K14" s="18" t="s">
        <v>665</v>
      </c>
    </row>
    <row r="15" customFormat="false" ht="51.75" hidden="false" customHeight="true" outlineLevel="0" collapsed="false">
      <c r="A15" s="18" t="s">
        <v>199</v>
      </c>
      <c r="B15" s="18" t="s">
        <v>662</v>
      </c>
      <c r="C15" s="18" t="s">
        <v>670</v>
      </c>
      <c r="D15" s="18" t="s">
        <v>1707</v>
      </c>
      <c r="E15" s="18" t="s">
        <v>225</v>
      </c>
      <c r="F15" s="18" t="s">
        <v>1696</v>
      </c>
      <c r="G15" s="18" t="s">
        <v>99</v>
      </c>
      <c r="H15" s="18" t="s">
        <v>1697</v>
      </c>
      <c r="I15" s="18" t="n">
        <v>2</v>
      </c>
      <c r="J15" s="18" t="s">
        <v>672</v>
      </c>
      <c r="K15" s="18" t="s">
        <v>673</v>
      </c>
    </row>
    <row r="16" customFormat="false" ht="39.75" hidden="false" customHeight="true" outlineLevel="0" collapsed="false">
      <c r="A16" s="18" t="s">
        <v>199</v>
      </c>
      <c r="B16" s="18" t="s">
        <v>662</v>
      </c>
      <c r="C16" s="18" t="s">
        <v>678</v>
      </c>
      <c r="D16" s="18" t="s">
        <v>1708</v>
      </c>
      <c r="E16" s="18" t="s">
        <v>212</v>
      </c>
      <c r="F16" s="18" t="s">
        <v>1702</v>
      </c>
      <c r="G16" s="18" t="s">
        <v>123</v>
      </c>
      <c r="H16" s="18" t="s">
        <v>1691</v>
      </c>
      <c r="I16" s="18" t="n">
        <v>2</v>
      </c>
      <c r="J16" s="18" t="s">
        <v>680</v>
      </c>
      <c r="K16" s="18" t="s">
        <v>681</v>
      </c>
    </row>
    <row r="17" customFormat="false" ht="51.75" hidden="false" customHeight="true" outlineLevel="0" collapsed="false">
      <c r="A17" s="18" t="s">
        <v>199</v>
      </c>
      <c r="B17" s="18" t="s">
        <v>688</v>
      </c>
      <c r="C17" s="18" t="s">
        <v>687</v>
      </c>
      <c r="D17" s="18" t="s">
        <v>1709</v>
      </c>
      <c r="E17" s="18" t="s">
        <v>225</v>
      </c>
      <c r="F17" s="18" t="s">
        <v>1696</v>
      </c>
      <c r="G17" s="18" t="s">
        <v>99</v>
      </c>
      <c r="H17" s="18" t="s">
        <v>1697</v>
      </c>
      <c r="I17" s="18" t="n">
        <v>2</v>
      </c>
      <c r="J17" s="18" t="s">
        <v>690</v>
      </c>
      <c r="K17" s="18"/>
    </row>
    <row r="18" customFormat="false" ht="78" hidden="false" customHeight="true" outlineLevel="0" collapsed="false">
      <c r="A18" s="18" t="s">
        <v>199</v>
      </c>
      <c r="B18" s="18" t="s">
        <v>688</v>
      </c>
      <c r="C18" s="18" t="s">
        <v>695</v>
      </c>
      <c r="D18" s="18" t="s">
        <v>1710</v>
      </c>
      <c r="E18" s="18" t="s">
        <v>225</v>
      </c>
      <c r="F18" s="18" t="s">
        <v>1696</v>
      </c>
      <c r="G18" s="18" t="s">
        <v>99</v>
      </c>
      <c r="H18" s="18" t="s">
        <v>1697</v>
      </c>
      <c r="I18" s="18" t="n">
        <v>3</v>
      </c>
      <c r="J18" s="18" t="s">
        <v>697</v>
      </c>
      <c r="K18" s="18" t="s">
        <v>698</v>
      </c>
    </row>
    <row r="19" customFormat="false" ht="39.75" hidden="false" customHeight="true" outlineLevel="0" collapsed="false">
      <c r="A19" s="18" t="s">
        <v>199</v>
      </c>
      <c r="B19" s="18" t="s">
        <v>688</v>
      </c>
      <c r="C19" s="18" t="s">
        <v>705</v>
      </c>
      <c r="D19" s="18" t="s">
        <v>1711</v>
      </c>
      <c r="E19" s="18" t="s">
        <v>225</v>
      </c>
      <c r="F19" s="18" t="s">
        <v>1696</v>
      </c>
      <c r="G19" s="18" t="s">
        <v>99</v>
      </c>
      <c r="H19" s="18" t="s">
        <v>1697</v>
      </c>
      <c r="I19" s="18" t="n">
        <v>2</v>
      </c>
      <c r="J19" s="18" t="s">
        <v>707</v>
      </c>
      <c r="K19" s="18" t="s">
        <v>708</v>
      </c>
    </row>
    <row r="20" customFormat="false" ht="78" hidden="false" customHeight="true" outlineLevel="0" collapsed="false">
      <c r="A20" s="18" t="s">
        <v>199</v>
      </c>
      <c r="B20" s="18" t="s">
        <v>715</v>
      </c>
      <c r="C20" s="18" t="s">
        <v>714</v>
      </c>
      <c r="D20" s="18" t="s">
        <v>1712</v>
      </c>
      <c r="E20" s="18" t="s">
        <v>225</v>
      </c>
      <c r="F20" s="18" t="s">
        <v>1696</v>
      </c>
      <c r="G20" s="18" t="s">
        <v>99</v>
      </c>
      <c r="H20" s="18" t="s">
        <v>1697</v>
      </c>
      <c r="I20" s="18" t="n">
        <v>2</v>
      </c>
      <c r="J20" s="18" t="s">
        <v>717</v>
      </c>
      <c r="K20" s="18" t="s">
        <v>673</v>
      </c>
    </row>
    <row r="21" customFormat="false" ht="51.75" hidden="false" customHeight="true" outlineLevel="0" collapsed="false">
      <c r="A21" s="18" t="s">
        <v>199</v>
      </c>
      <c r="B21" s="18" t="s">
        <v>715</v>
      </c>
      <c r="C21" s="18" t="s">
        <v>722</v>
      </c>
      <c r="D21" s="18" t="s">
        <v>1713</v>
      </c>
      <c r="E21" s="18" t="s">
        <v>225</v>
      </c>
      <c r="F21" s="18" t="s">
        <v>1696</v>
      </c>
      <c r="G21" s="18" t="s">
        <v>99</v>
      </c>
      <c r="H21" s="18" t="s">
        <v>1697</v>
      </c>
      <c r="I21" s="18" t="n">
        <v>2</v>
      </c>
      <c r="J21" s="18" t="s">
        <v>724</v>
      </c>
      <c r="K21" s="18" t="s">
        <v>725</v>
      </c>
    </row>
    <row r="22" customFormat="false" ht="39.75" hidden="false" customHeight="true" outlineLevel="0" collapsed="false">
      <c r="A22" s="18" t="s">
        <v>199</v>
      </c>
      <c r="B22" s="18" t="s">
        <v>715</v>
      </c>
      <c r="C22" s="18" t="s">
        <v>730</v>
      </c>
      <c r="D22" s="18" t="s">
        <v>1714</v>
      </c>
      <c r="E22" s="18" t="s">
        <v>225</v>
      </c>
      <c r="F22" s="18" t="s">
        <v>1696</v>
      </c>
      <c r="G22" s="18" t="s">
        <v>99</v>
      </c>
      <c r="H22" s="18" t="s">
        <v>1697</v>
      </c>
      <c r="I22" s="18" t="n">
        <v>2</v>
      </c>
      <c r="J22" s="18" t="s">
        <v>732</v>
      </c>
      <c r="K22" s="18"/>
    </row>
    <row r="23" customFormat="false" ht="39.75" hidden="false" customHeight="true" outlineLevel="0" collapsed="false">
      <c r="A23" s="18" t="s">
        <v>199</v>
      </c>
      <c r="B23" s="18" t="s">
        <v>715</v>
      </c>
      <c r="C23" s="18" t="s">
        <v>737</v>
      </c>
      <c r="D23" s="18" t="s">
        <v>1715</v>
      </c>
      <c r="E23" s="18" t="s">
        <v>225</v>
      </c>
      <c r="F23" s="18" t="s">
        <v>1696</v>
      </c>
      <c r="G23" s="18" t="s">
        <v>99</v>
      </c>
      <c r="H23" s="18" t="s">
        <v>1697</v>
      </c>
      <c r="I23" s="18" t="n">
        <v>2</v>
      </c>
      <c r="J23" s="18" t="s">
        <v>739</v>
      </c>
      <c r="K23" s="18"/>
    </row>
    <row r="24" customFormat="false" ht="51.75" hidden="false" customHeight="true" outlineLevel="0" collapsed="false">
      <c r="A24" s="18" t="s">
        <v>239</v>
      </c>
      <c r="B24" s="18" t="s">
        <v>746</v>
      </c>
      <c r="C24" s="18" t="s">
        <v>745</v>
      </c>
      <c r="D24" s="18" t="s">
        <v>1716</v>
      </c>
      <c r="E24" s="18" t="s">
        <v>251</v>
      </c>
      <c r="F24" s="18" t="s">
        <v>1717</v>
      </c>
      <c r="G24" s="18" t="s">
        <v>123</v>
      </c>
      <c r="H24" s="18" t="s">
        <v>1691</v>
      </c>
      <c r="I24" s="18" t="n">
        <v>2</v>
      </c>
      <c r="J24" s="18" t="s">
        <v>749</v>
      </c>
      <c r="K24" s="18" t="s">
        <v>750</v>
      </c>
    </row>
    <row r="25" customFormat="false" ht="78" hidden="false" customHeight="true" outlineLevel="0" collapsed="false">
      <c r="A25" s="18" t="s">
        <v>239</v>
      </c>
      <c r="B25" s="18" t="s">
        <v>746</v>
      </c>
      <c r="C25" s="18" t="s">
        <v>754</v>
      </c>
      <c r="D25" s="18" t="s">
        <v>1718</v>
      </c>
      <c r="E25" s="18" t="s">
        <v>251</v>
      </c>
      <c r="F25" s="18" t="s">
        <v>1717</v>
      </c>
      <c r="G25" s="18" t="s">
        <v>123</v>
      </c>
      <c r="H25" s="18" t="s">
        <v>1691</v>
      </c>
      <c r="I25" s="18" t="n">
        <v>3</v>
      </c>
      <c r="J25" s="18" t="s">
        <v>756</v>
      </c>
      <c r="K25" s="18" t="s">
        <v>757</v>
      </c>
    </row>
    <row r="26" customFormat="false" ht="78" hidden="false" customHeight="true" outlineLevel="0" collapsed="false">
      <c r="A26" s="18" t="s">
        <v>239</v>
      </c>
      <c r="B26" s="18" t="s">
        <v>746</v>
      </c>
      <c r="C26" s="18" t="s">
        <v>763</v>
      </c>
      <c r="D26" s="18" t="s">
        <v>1719</v>
      </c>
      <c r="E26" s="18" t="s">
        <v>251</v>
      </c>
      <c r="F26" s="18" t="s">
        <v>1717</v>
      </c>
      <c r="G26" s="18" t="s">
        <v>123</v>
      </c>
      <c r="H26" s="18" t="s">
        <v>1691</v>
      </c>
      <c r="I26" s="18" t="n">
        <v>3</v>
      </c>
      <c r="J26" s="18" t="s">
        <v>765</v>
      </c>
      <c r="K26" s="18" t="s">
        <v>766</v>
      </c>
    </row>
    <row r="27" customFormat="false" ht="103.5" hidden="false" customHeight="true" outlineLevel="0" collapsed="false">
      <c r="A27" s="18" t="s">
        <v>239</v>
      </c>
      <c r="B27" s="18" t="s">
        <v>774</v>
      </c>
      <c r="C27" s="18" t="s">
        <v>773</v>
      </c>
      <c r="D27" s="18" t="s">
        <v>1720</v>
      </c>
      <c r="E27" s="18" t="s">
        <v>238</v>
      </c>
      <c r="F27" s="18" t="s">
        <v>1721</v>
      </c>
      <c r="G27" s="18" t="s">
        <v>123</v>
      </c>
      <c r="H27" s="18" t="s">
        <v>1691</v>
      </c>
      <c r="I27" s="18" t="n">
        <v>4</v>
      </c>
      <c r="J27" s="18" t="s">
        <v>777</v>
      </c>
      <c r="K27" s="18" t="s">
        <v>778</v>
      </c>
    </row>
    <row r="28" customFormat="false" ht="78" hidden="false" customHeight="true" outlineLevel="0" collapsed="false">
      <c r="A28" s="18" t="s">
        <v>239</v>
      </c>
      <c r="B28" s="18" t="s">
        <v>774</v>
      </c>
      <c r="C28" s="18" t="s">
        <v>785</v>
      </c>
      <c r="D28" s="18" t="s">
        <v>1722</v>
      </c>
      <c r="E28" s="18" t="s">
        <v>238</v>
      </c>
      <c r="F28" s="18" t="s">
        <v>1721</v>
      </c>
      <c r="G28" s="18" t="s">
        <v>123</v>
      </c>
      <c r="H28" s="18" t="s">
        <v>1691</v>
      </c>
      <c r="I28" s="18" t="n">
        <v>3</v>
      </c>
      <c r="J28" s="18" t="s">
        <v>787</v>
      </c>
      <c r="K28" s="18"/>
    </row>
    <row r="29" customFormat="false" ht="78" hidden="false" customHeight="true" outlineLevel="0" collapsed="false">
      <c r="A29" s="18" t="s">
        <v>239</v>
      </c>
      <c r="B29" s="18" t="s">
        <v>774</v>
      </c>
      <c r="C29" s="18" t="s">
        <v>795</v>
      </c>
      <c r="D29" s="18" t="s">
        <v>1723</v>
      </c>
      <c r="E29" s="18" t="s">
        <v>263</v>
      </c>
      <c r="F29" s="18" t="s">
        <v>1724</v>
      </c>
      <c r="G29" s="18" t="s">
        <v>171</v>
      </c>
      <c r="H29" s="18" t="s">
        <v>1725</v>
      </c>
      <c r="I29" s="18" t="n">
        <v>3</v>
      </c>
      <c r="J29" s="18" t="s">
        <v>798</v>
      </c>
      <c r="K29" s="18" t="s">
        <v>799</v>
      </c>
    </row>
    <row r="30" customFormat="false" ht="51.75" hidden="false" customHeight="true" outlineLevel="0" collapsed="false">
      <c r="A30" s="18" t="s">
        <v>274</v>
      </c>
      <c r="B30" s="18" t="s">
        <v>808</v>
      </c>
      <c r="C30" s="18" t="s">
        <v>807</v>
      </c>
      <c r="D30" s="18" t="s">
        <v>1726</v>
      </c>
      <c r="E30" s="18" t="s">
        <v>304</v>
      </c>
      <c r="F30" s="18" t="s">
        <v>1727</v>
      </c>
      <c r="G30" s="18" t="s">
        <v>171</v>
      </c>
      <c r="H30" s="18" t="s">
        <v>1725</v>
      </c>
      <c r="I30" s="18" t="n">
        <v>2</v>
      </c>
      <c r="J30" s="18" t="s">
        <v>811</v>
      </c>
      <c r="K30" s="18" t="s">
        <v>812</v>
      </c>
    </row>
    <row r="31" customFormat="false" ht="78" hidden="false" customHeight="true" outlineLevel="0" collapsed="false">
      <c r="A31" s="18" t="s">
        <v>274</v>
      </c>
      <c r="B31" s="18" t="s">
        <v>808</v>
      </c>
      <c r="C31" s="18" t="s">
        <v>816</v>
      </c>
      <c r="D31" s="18" t="s">
        <v>1728</v>
      </c>
      <c r="E31" s="18" t="s">
        <v>304</v>
      </c>
      <c r="F31" s="18" t="s">
        <v>1727</v>
      </c>
      <c r="G31" s="18" t="s">
        <v>171</v>
      </c>
      <c r="H31" s="18" t="s">
        <v>1725</v>
      </c>
      <c r="I31" s="18" t="n">
        <v>3</v>
      </c>
      <c r="J31" s="18" t="s">
        <v>818</v>
      </c>
      <c r="K31" s="18" t="s">
        <v>819</v>
      </c>
    </row>
    <row r="32" customFormat="false" ht="78" hidden="false" customHeight="true" outlineLevel="0" collapsed="false">
      <c r="A32" s="18" t="s">
        <v>274</v>
      </c>
      <c r="B32" s="18" t="s">
        <v>808</v>
      </c>
      <c r="C32" s="18" t="s">
        <v>826</v>
      </c>
      <c r="D32" s="18" t="s">
        <v>1729</v>
      </c>
      <c r="E32" s="18" t="s">
        <v>304</v>
      </c>
      <c r="F32" s="18" t="s">
        <v>1727</v>
      </c>
      <c r="G32" s="18" t="s">
        <v>171</v>
      </c>
      <c r="H32" s="18" t="s">
        <v>1725</v>
      </c>
      <c r="I32" s="18" t="n">
        <v>3</v>
      </c>
      <c r="J32" s="18" t="s">
        <v>828</v>
      </c>
      <c r="K32" s="18"/>
    </row>
    <row r="33" customFormat="false" ht="51.75" hidden="false" customHeight="true" outlineLevel="0" collapsed="false">
      <c r="A33" s="18" t="s">
        <v>274</v>
      </c>
      <c r="B33" s="18" t="s">
        <v>837</v>
      </c>
      <c r="C33" s="18" t="s">
        <v>836</v>
      </c>
      <c r="D33" s="18" t="s">
        <v>1730</v>
      </c>
      <c r="E33" s="18" t="s">
        <v>273</v>
      </c>
      <c r="F33" s="18" t="s">
        <v>1731</v>
      </c>
      <c r="G33" s="18" t="s">
        <v>62</v>
      </c>
      <c r="H33" s="18" t="s">
        <v>1732</v>
      </c>
      <c r="I33" s="18" t="n">
        <v>5</v>
      </c>
      <c r="J33" s="18" t="s">
        <v>840</v>
      </c>
      <c r="K33" s="18" t="s">
        <v>841</v>
      </c>
    </row>
    <row r="34" customFormat="false" ht="51.75" hidden="false" customHeight="true" outlineLevel="0" collapsed="false">
      <c r="A34" s="18" t="s">
        <v>274</v>
      </c>
      <c r="B34" s="18" t="s">
        <v>837</v>
      </c>
      <c r="C34" s="18" t="s">
        <v>853</v>
      </c>
      <c r="D34" s="18" t="s">
        <v>1733</v>
      </c>
      <c r="E34" s="18" t="s">
        <v>273</v>
      </c>
      <c r="F34" s="18" t="s">
        <v>1731</v>
      </c>
      <c r="G34" s="18" t="s">
        <v>62</v>
      </c>
      <c r="H34" s="18" t="s">
        <v>1732</v>
      </c>
      <c r="I34" s="18" t="n">
        <v>5</v>
      </c>
      <c r="J34" s="18" t="s">
        <v>855</v>
      </c>
      <c r="K34" s="18" t="s">
        <v>856</v>
      </c>
    </row>
    <row r="35" customFormat="false" ht="78" hidden="false" customHeight="true" outlineLevel="0" collapsed="false">
      <c r="A35" s="18" t="s">
        <v>274</v>
      </c>
      <c r="B35" s="18" t="s">
        <v>837</v>
      </c>
      <c r="C35" s="18" t="s">
        <v>868</v>
      </c>
      <c r="D35" s="18" t="s">
        <v>1734</v>
      </c>
      <c r="E35" s="18" t="s">
        <v>290</v>
      </c>
      <c r="F35" s="18" t="s">
        <v>1735</v>
      </c>
      <c r="G35" s="18" t="s">
        <v>123</v>
      </c>
      <c r="H35" s="18" t="s">
        <v>1691</v>
      </c>
      <c r="I35" s="18" t="n">
        <v>5</v>
      </c>
      <c r="J35" s="18" t="s">
        <v>871</v>
      </c>
      <c r="K35" s="18" t="s">
        <v>872</v>
      </c>
    </row>
    <row r="36" customFormat="false" ht="78" hidden="false" customHeight="true" outlineLevel="0" collapsed="false">
      <c r="A36" s="18" t="s">
        <v>274</v>
      </c>
      <c r="B36" s="18" t="s">
        <v>886</v>
      </c>
      <c r="C36" s="18" t="s">
        <v>885</v>
      </c>
      <c r="D36" s="18" t="s">
        <v>1736</v>
      </c>
      <c r="E36" s="18" t="s">
        <v>304</v>
      </c>
      <c r="F36" s="18" t="s">
        <v>1727</v>
      </c>
      <c r="G36" s="18" t="s">
        <v>171</v>
      </c>
      <c r="H36" s="18" t="s">
        <v>1725</v>
      </c>
      <c r="I36" s="18" t="n">
        <v>3</v>
      </c>
      <c r="J36" s="18" t="s">
        <v>888</v>
      </c>
      <c r="K36" s="18" t="s">
        <v>889</v>
      </c>
    </row>
    <row r="37" customFormat="false" ht="39.75" hidden="false" customHeight="true" outlineLevel="0" collapsed="false">
      <c r="A37" s="18" t="s">
        <v>274</v>
      </c>
      <c r="B37" s="18" t="s">
        <v>886</v>
      </c>
      <c r="C37" s="18" t="s">
        <v>898</v>
      </c>
      <c r="D37" s="18" t="s">
        <v>1737</v>
      </c>
      <c r="E37" s="18" t="s">
        <v>290</v>
      </c>
      <c r="F37" s="18" t="s">
        <v>1735</v>
      </c>
      <c r="G37" s="18" t="s">
        <v>123</v>
      </c>
      <c r="H37" s="18" t="s">
        <v>1691</v>
      </c>
      <c r="I37" s="18" t="n">
        <v>5</v>
      </c>
      <c r="J37" s="18" t="s">
        <v>900</v>
      </c>
      <c r="K37" s="18" t="s">
        <v>901</v>
      </c>
    </row>
    <row r="38" customFormat="false" ht="51.75" hidden="false" customHeight="true" outlineLevel="0" collapsed="false">
      <c r="A38" s="18" t="s">
        <v>274</v>
      </c>
      <c r="B38" s="18" t="s">
        <v>886</v>
      </c>
      <c r="C38" s="18" t="s">
        <v>914</v>
      </c>
      <c r="D38" s="18" t="s">
        <v>1738</v>
      </c>
      <c r="E38" s="18" t="s">
        <v>304</v>
      </c>
      <c r="F38" s="18" t="s">
        <v>1727</v>
      </c>
      <c r="G38" s="18" t="s">
        <v>171</v>
      </c>
      <c r="H38" s="18" t="s">
        <v>1725</v>
      </c>
      <c r="I38" s="18" t="n">
        <v>4</v>
      </c>
      <c r="J38" s="18" t="s">
        <v>916</v>
      </c>
      <c r="K38" s="18" t="s">
        <v>917</v>
      </c>
    </row>
    <row r="39" customFormat="false" ht="51.75" hidden="false" customHeight="true" outlineLevel="0" collapsed="false">
      <c r="A39" s="18" t="s">
        <v>274</v>
      </c>
      <c r="B39" s="18" t="s">
        <v>927</v>
      </c>
      <c r="C39" s="18" t="s">
        <v>926</v>
      </c>
      <c r="D39" s="18" t="s">
        <v>1739</v>
      </c>
      <c r="E39" s="18" t="s">
        <v>290</v>
      </c>
      <c r="F39" s="18" t="s">
        <v>1735</v>
      </c>
      <c r="G39" s="18" t="s">
        <v>123</v>
      </c>
      <c r="H39" s="18" t="s">
        <v>1691</v>
      </c>
      <c r="I39" s="18" t="n">
        <v>2</v>
      </c>
      <c r="J39" s="18" t="s">
        <v>929</v>
      </c>
      <c r="K39" s="18" t="s">
        <v>930</v>
      </c>
    </row>
    <row r="40" customFormat="false" ht="51.75" hidden="false" customHeight="true" outlineLevel="0" collapsed="false">
      <c r="A40" s="18" t="s">
        <v>274</v>
      </c>
      <c r="B40" s="18" t="s">
        <v>927</v>
      </c>
      <c r="C40" s="18" t="s">
        <v>935</v>
      </c>
      <c r="D40" s="18" t="s">
        <v>1740</v>
      </c>
      <c r="E40" s="18" t="s">
        <v>290</v>
      </c>
      <c r="F40" s="18" t="s">
        <v>1735</v>
      </c>
      <c r="G40" s="18" t="s">
        <v>123</v>
      </c>
      <c r="H40" s="18" t="s">
        <v>1691</v>
      </c>
      <c r="I40" s="18" t="n">
        <v>2</v>
      </c>
      <c r="J40" s="18" t="s">
        <v>937</v>
      </c>
      <c r="K40" s="18" t="s">
        <v>938</v>
      </c>
    </row>
    <row r="41" customFormat="false" ht="78" hidden="false" customHeight="true" outlineLevel="0" collapsed="false">
      <c r="A41" s="18" t="s">
        <v>274</v>
      </c>
      <c r="B41" s="18" t="s">
        <v>927</v>
      </c>
      <c r="C41" s="18" t="s">
        <v>943</v>
      </c>
      <c r="D41" s="18" t="s">
        <v>1741</v>
      </c>
      <c r="E41" s="18" t="s">
        <v>304</v>
      </c>
      <c r="F41" s="18" t="s">
        <v>1727</v>
      </c>
      <c r="G41" s="18" t="s">
        <v>171</v>
      </c>
      <c r="H41" s="18" t="s">
        <v>1725</v>
      </c>
      <c r="I41" s="18" t="n">
        <v>3</v>
      </c>
      <c r="J41" s="18" t="s">
        <v>945</v>
      </c>
      <c r="K41" s="18" t="s">
        <v>946</v>
      </c>
    </row>
    <row r="42" customFormat="false" ht="51.75" hidden="false" customHeight="true" outlineLevel="0" collapsed="false">
      <c r="A42" s="18" t="s">
        <v>320</v>
      </c>
      <c r="B42" s="18" t="s">
        <v>954</v>
      </c>
      <c r="C42" s="18" t="s">
        <v>953</v>
      </c>
      <c r="D42" s="18" t="s">
        <v>1742</v>
      </c>
      <c r="E42" s="18" t="s">
        <v>319</v>
      </c>
      <c r="F42" s="18" t="s">
        <v>1743</v>
      </c>
      <c r="G42" s="18" t="s">
        <v>62</v>
      </c>
      <c r="H42" s="18" t="s">
        <v>1732</v>
      </c>
      <c r="I42" s="18" t="n">
        <v>4</v>
      </c>
      <c r="J42" s="18" t="s">
        <v>957</v>
      </c>
      <c r="K42" s="18" t="s">
        <v>958</v>
      </c>
    </row>
    <row r="43" customFormat="false" ht="39.75" hidden="false" customHeight="true" outlineLevel="0" collapsed="false">
      <c r="A43" s="18" t="s">
        <v>320</v>
      </c>
      <c r="B43" s="18" t="s">
        <v>954</v>
      </c>
      <c r="C43" s="18" t="s">
        <v>969</v>
      </c>
      <c r="D43" s="18" t="s">
        <v>1744</v>
      </c>
      <c r="E43" s="18" t="s">
        <v>332</v>
      </c>
      <c r="F43" s="18" t="s">
        <v>1745</v>
      </c>
      <c r="G43" s="18" t="s">
        <v>123</v>
      </c>
      <c r="H43" s="18" t="s">
        <v>1691</v>
      </c>
      <c r="I43" s="18" t="n">
        <v>2</v>
      </c>
      <c r="J43" s="18" t="s">
        <v>972</v>
      </c>
      <c r="K43" s="18" t="s">
        <v>973</v>
      </c>
    </row>
    <row r="44" customFormat="false" ht="78" hidden="false" customHeight="true" outlineLevel="0" collapsed="false">
      <c r="A44" s="18" t="s">
        <v>320</v>
      </c>
      <c r="B44" s="18" t="s">
        <v>954</v>
      </c>
      <c r="C44" s="18" t="s">
        <v>979</v>
      </c>
      <c r="D44" s="18" t="s">
        <v>1746</v>
      </c>
      <c r="E44" s="18" t="s">
        <v>332</v>
      </c>
      <c r="F44" s="18" t="s">
        <v>1745</v>
      </c>
      <c r="G44" s="18" t="s">
        <v>123</v>
      </c>
      <c r="H44" s="18" t="s">
        <v>1691</v>
      </c>
      <c r="I44" s="18" t="n">
        <v>4</v>
      </c>
      <c r="J44" s="18" t="s">
        <v>981</v>
      </c>
      <c r="K44" s="18" t="s">
        <v>982</v>
      </c>
    </row>
    <row r="45" customFormat="false" ht="39.75" hidden="false" customHeight="true" outlineLevel="0" collapsed="false">
      <c r="A45" s="18" t="s">
        <v>320</v>
      </c>
      <c r="B45" s="18" t="s">
        <v>954</v>
      </c>
      <c r="C45" s="18" t="s">
        <v>994</v>
      </c>
      <c r="D45" s="18" t="s">
        <v>1747</v>
      </c>
      <c r="E45" s="18" t="s">
        <v>332</v>
      </c>
      <c r="F45" s="18" t="s">
        <v>1745</v>
      </c>
      <c r="G45" s="18" t="s">
        <v>123</v>
      </c>
      <c r="H45" s="18" t="s">
        <v>1691</v>
      </c>
      <c r="I45" s="18" t="n">
        <v>3</v>
      </c>
      <c r="J45" s="18" t="s">
        <v>996</v>
      </c>
      <c r="K45" s="18" t="s">
        <v>997</v>
      </c>
    </row>
    <row r="46" customFormat="false" ht="78" hidden="false" customHeight="true" outlineLevel="0" collapsed="false">
      <c r="A46" s="18" t="s">
        <v>320</v>
      </c>
      <c r="B46" s="18" t="s">
        <v>1007</v>
      </c>
      <c r="C46" s="18" t="s">
        <v>1006</v>
      </c>
      <c r="D46" s="18" t="s">
        <v>1748</v>
      </c>
      <c r="E46" s="18" t="s">
        <v>319</v>
      </c>
      <c r="F46" s="18" t="s">
        <v>1743</v>
      </c>
      <c r="G46" s="18" t="s">
        <v>62</v>
      </c>
      <c r="H46" s="18" t="s">
        <v>1732</v>
      </c>
      <c r="I46" s="18" t="n">
        <v>4</v>
      </c>
      <c r="J46" s="18" t="s">
        <v>1009</v>
      </c>
      <c r="K46" s="18" t="s">
        <v>1010</v>
      </c>
    </row>
    <row r="47" customFormat="false" ht="78" hidden="false" customHeight="true" outlineLevel="0" collapsed="false">
      <c r="A47" s="18" t="s">
        <v>320</v>
      </c>
      <c r="B47" s="18" t="s">
        <v>1007</v>
      </c>
      <c r="C47" s="18" t="s">
        <v>1019</v>
      </c>
      <c r="D47" s="18" t="s">
        <v>1749</v>
      </c>
      <c r="E47" s="18" t="s">
        <v>319</v>
      </c>
      <c r="F47" s="18" t="s">
        <v>1743</v>
      </c>
      <c r="G47" s="18" t="s">
        <v>62</v>
      </c>
      <c r="H47" s="18" t="s">
        <v>1732</v>
      </c>
      <c r="I47" s="18" t="n">
        <v>4</v>
      </c>
      <c r="J47" s="18" t="s">
        <v>1021</v>
      </c>
      <c r="K47" s="18" t="s">
        <v>1022</v>
      </c>
    </row>
    <row r="48" customFormat="false" ht="51.75" hidden="false" customHeight="true" outlineLevel="0" collapsed="false">
      <c r="A48" s="18" t="s">
        <v>320</v>
      </c>
      <c r="B48" s="18" t="s">
        <v>1007</v>
      </c>
      <c r="C48" s="18" t="s">
        <v>1029</v>
      </c>
      <c r="D48" s="18" t="s">
        <v>1750</v>
      </c>
      <c r="E48" s="18" t="s">
        <v>319</v>
      </c>
      <c r="F48" s="18" t="s">
        <v>1743</v>
      </c>
      <c r="G48" s="18" t="s">
        <v>62</v>
      </c>
      <c r="H48" s="18" t="s">
        <v>1732</v>
      </c>
      <c r="I48" s="18" t="n">
        <v>2</v>
      </c>
      <c r="J48" s="18" t="s">
        <v>1031</v>
      </c>
      <c r="K48" s="18"/>
    </row>
    <row r="49" customFormat="false" ht="78" hidden="false" customHeight="true" outlineLevel="0" collapsed="false">
      <c r="A49" s="18" t="s">
        <v>320</v>
      </c>
      <c r="B49" s="18" t="s">
        <v>1038</v>
      </c>
      <c r="C49" s="18" t="s">
        <v>1037</v>
      </c>
      <c r="D49" s="18" t="s">
        <v>1751</v>
      </c>
      <c r="E49" s="18" t="s">
        <v>319</v>
      </c>
      <c r="F49" s="18" t="s">
        <v>1743</v>
      </c>
      <c r="G49" s="18" t="s">
        <v>62</v>
      </c>
      <c r="H49" s="18" t="s">
        <v>1732</v>
      </c>
      <c r="I49" s="18" t="n">
        <v>3</v>
      </c>
      <c r="J49" s="18" t="s">
        <v>1040</v>
      </c>
      <c r="K49" s="18" t="s">
        <v>1041</v>
      </c>
    </row>
    <row r="50" customFormat="false" ht="51.75" hidden="false" customHeight="true" outlineLevel="0" collapsed="false">
      <c r="A50" s="18" t="s">
        <v>320</v>
      </c>
      <c r="B50" s="18" t="s">
        <v>1038</v>
      </c>
      <c r="C50" s="18" t="s">
        <v>1049</v>
      </c>
      <c r="D50" s="18" t="s">
        <v>1752</v>
      </c>
      <c r="E50" s="18" t="s">
        <v>319</v>
      </c>
      <c r="F50" s="18" t="s">
        <v>1743</v>
      </c>
      <c r="G50" s="18" t="s">
        <v>62</v>
      </c>
      <c r="H50" s="18" t="s">
        <v>1732</v>
      </c>
      <c r="I50" s="18" t="n">
        <v>4</v>
      </c>
      <c r="J50" s="18" t="s">
        <v>1051</v>
      </c>
      <c r="K50" s="18" t="s">
        <v>1052</v>
      </c>
    </row>
    <row r="51" customFormat="false" ht="39.75" hidden="false" customHeight="true" outlineLevel="0" collapsed="false">
      <c r="A51" s="18" t="s">
        <v>320</v>
      </c>
      <c r="B51" s="18" t="s">
        <v>1038</v>
      </c>
      <c r="C51" s="18" t="s">
        <v>1061</v>
      </c>
      <c r="D51" s="18" t="s">
        <v>1753</v>
      </c>
      <c r="E51" s="18" t="s">
        <v>332</v>
      </c>
      <c r="F51" s="18" t="s">
        <v>1745</v>
      </c>
      <c r="G51" s="18" t="s">
        <v>123</v>
      </c>
      <c r="H51" s="18" t="s">
        <v>1691</v>
      </c>
      <c r="I51" s="18" t="n">
        <v>3</v>
      </c>
      <c r="J51" s="18" t="s">
        <v>1063</v>
      </c>
      <c r="K51" s="18" t="s">
        <v>1064</v>
      </c>
    </row>
    <row r="52" customFormat="false" ht="78" hidden="false" customHeight="true" outlineLevel="0" collapsed="false">
      <c r="A52" s="18" t="s">
        <v>320</v>
      </c>
      <c r="B52" s="18" t="s">
        <v>1074</v>
      </c>
      <c r="C52" s="18" t="s">
        <v>1073</v>
      </c>
      <c r="D52" s="18" t="s">
        <v>1754</v>
      </c>
      <c r="E52" s="18" t="s">
        <v>347</v>
      </c>
      <c r="F52" s="18" t="s">
        <v>1755</v>
      </c>
      <c r="G52" s="18" t="s">
        <v>171</v>
      </c>
      <c r="H52" s="18" t="s">
        <v>1725</v>
      </c>
      <c r="I52" s="18" t="n">
        <v>2</v>
      </c>
      <c r="J52" s="18" t="s">
        <v>1077</v>
      </c>
      <c r="K52" s="18" t="s">
        <v>1078</v>
      </c>
    </row>
    <row r="53" customFormat="false" ht="39.75" hidden="false" customHeight="true" outlineLevel="0" collapsed="false">
      <c r="A53" s="18" t="s">
        <v>320</v>
      </c>
      <c r="B53" s="18" t="s">
        <v>1074</v>
      </c>
      <c r="C53" s="18" t="s">
        <v>1083</v>
      </c>
      <c r="D53" s="18" t="s">
        <v>1756</v>
      </c>
      <c r="E53" s="18" t="s">
        <v>347</v>
      </c>
      <c r="F53" s="18" t="s">
        <v>1755</v>
      </c>
      <c r="G53" s="18" t="s">
        <v>171</v>
      </c>
      <c r="H53" s="18" t="s">
        <v>1725</v>
      </c>
      <c r="I53" s="18" t="n">
        <v>2</v>
      </c>
      <c r="J53" s="18" t="s">
        <v>1085</v>
      </c>
      <c r="K53" s="18"/>
    </row>
    <row r="54" customFormat="false" ht="78" hidden="false" customHeight="true" outlineLevel="0" collapsed="false">
      <c r="A54" s="18" t="s">
        <v>320</v>
      </c>
      <c r="B54" s="18" t="s">
        <v>1074</v>
      </c>
      <c r="C54" s="18" t="s">
        <v>1090</v>
      </c>
      <c r="D54" s="18" t="s">
        <v>1757</v>
      </c>
      <c r="E54" s="18" t="s">
        <v>347</v>
      </c>
      <c r="F54" s="18" t="s">
        <v>1755</v>
      </c>
      <c r="G54" s="18" t="s">
        <v>171</v>
      </c>
      <c r="H54" s="18" t="s">
        <v>1725</v>
      </c>
      <c r="I54" s="18" t="n">
        <v>4</v>
      </c>
      <c r="J54" s="18" t="s">
        <v>1092</v>
      </c>
      <c r="K54" s="18" t="s">
        <v>1093</v>
      </c>
    </row>
    <row r="55" customFormat="false" ht="39.75" hidden="false" customHeight="true" outlineLevel="0" collapsed="false">
      <c r="A55" s="18" t="s">
        <v>320</v>
      </c>
      <c r="B55" s="18" t="s">
        <v>1074</v>
      </c>
      <c r="C55" s="18" t="s">
        <v>1103</v>
      </c>
      <c r="D55" s="18" t="s">
        <v>1758</v>
      </c>
      <c r="E55" s="18" t="s">
        <v>347</v>
      </c>
      <c r="F55" s="18" t="s">
        <v>1755</v>
      </c>
      <c r="G55" s="18" t="s">
        <v>171</v>
      </c>
      <c r="H55" s="18" t="s">
        <v>1725</v>
      </c>
      <c r="I55" s="18" t="n">
        <v>2</v>
      </c>
      <c r="J55" s="18" t="s">
        <v>1105</v>
      </c>
      <c r="K55" s="18" t="s">
        <v>1106</v>
      </c>
    </row>
    <row r="56" customFormat="false" ht="51.75" hidden="false" customHeight="true" outlineLevel="0" collapsed="false">
      <c r="A56" s="18" t="s">
        <v>361</v>
      </c>
      <c r="B56" s="18" t="s">
        <v>1114</v>
      </c>
      <c r="C56" s="18" t="s">
        <v>1113</v>
      </c>
      <c r="D56" s="18" t="s">
        <v>1759</v>
      </c>
      <c r="E56" s="18" t="s">
        <v>360</v>
      </c>
      <c r="F56" s="18" t="s">
        <v>1760</v>
      </c>
      <c r="G56" s="18" t="s">
        <v>150</v>
      </c>
      <c r="H56" s="18" t="s">
        <v>1761</v>
      </c>
      <c r="I56" s="18" t="n">
        <v>2</v>
      </c>
      <c r="J56" s="18" t="s">
        <v>1117</v>
      </c>
      <c r="K56" s="18"/>
    </row>
    <row r="57" customFormat="false" ht="39.75" hidden="false" customHeight="true" outlineLevel="0" collapsed="false">
      <c r="A57" s="18" t="s">
        <v>361</v>
      </c>
      <c r="B57" s="18" t="s">
        <v>1114</v>
      </c>
      <c r="C57" s="18" t="s">
        <v>1122</v>
      </c>
      <c r="D57" s="18" t="s">
        <v>1762</v>
      </c>
      <c r="E57" s="18" t="s">
        <v>374</v>
      </c>
      <c r="F57" s="18" t="s">
        <v>1763</v>
      </c>
      <c r="G57" s="18" t="s">
        <v>62</v>
      </c>
      <c r="H57" s="18" t="s">
        <v>1732</v>
      </c>
      <c r="I57" s="18" t="n">
        <v>4</v>
      </c>
      <c r="J57" s="18" t="s">
        <v>1125</v>
      </c>
      <c r="K57" s="18"/>
    </row>
    <row r="58" customFormat="false" ht="51.75" hidden="false" customHeight="true" outlineLevel="0" collapsed="false">
      <c r="A58" s="18" t="s">
        <v>361</v>
      </c>
      <c r="B58" s="18" t="s">
        <v>1114</v>
      </c>
      <c r="C58" s="18" t="s">
        <v>1135</v>
      </c>
      <c r="D58" s="18" t="s">
        <v>1764</v>
      </c>
      <c r="E58" s="18" t="s">
        <v>374</v>
      </c>
      <c r="F58" s="18" t="s">
        <v>1763</v>
      </c>
      <c r="G58" s="18" t="s">
        <v>62</v>
      </c>
      <c r="H58" s="18" t="s">
        <v>1732</v>
      </c>
      <c r="I58" s="18" t="n">
        <v>2</v>
      </c>
      <c r="J58" s="18" t="s">
        <v>1137</v>
      </c>
      <c r="K58" s="18" t="s">
        <v>1138</v>
      </c>
    </row>
    <row r="59" customFormat="false" ht="51.75" hidden="false" customHeight="true" outlineLevel="0" collapsed="false">
      <c r="A59" s="18" t="s">
        <v>361</v>
      </c>
      <c r="B59" s="18" t="s">
        <v>1146</v>
      </c>
      <c r="C59" s="18" t="s">
        <v>1145</v>
      </c>
      <c r="D59" s="18" t="s">
        <v>1765</v>
      </c>
      <c r="E59" s="18" t="s">
        <v>360</v>
      </c>
      <c r="F59" s="18" t="s">
        <v>1760</v>
      </c>
      <c r="G59" s="18" t="s">
        <v>150</v>
      </c>
      <c r="H59" s="18" t="s">
        <v>1761</v>
      </c>
      <c r="I59" s="18" t="n">
        <v>3</v>
      </c>
      <c r="J59" s="18" t="s">
        <v>1148</v>
      </c>
      <c r="K59" s="18" t="s">
        <v>1149</v>
      </c>
    </row>
    <row r="60" customFormat="false" ht="78" hidden="false" customHeight="true" outlineLevel="0" collapsed="false">
      <c r="A60" s="18" t="s">
        <v>361</v>
      </c>
      <c r="B60" s="18" t="s">
        <v>1146</v>
      </c>
      <c r="C60" s="18" t="s">
        <v>1156</v>
      </c>
      <c r="D60" s="18" t="s">
        <v>1766</v>
      </c>
      <c r="E60" s="18" t="s">
        <v>374</v>
      </c>
      <c r="F60" s="18" t="s">
        <v>1763</v>
      </c>
      <c r="G60" s="18" t="s">
        <v>62</v>
      </c>
      <c r="H60" s="18" t="s">
        <v>1732</v>
      </c>
      <c r="I60" s="18" t="n">
        <v>3</v>
      </c>
      <c r="J60" s="18" t="s">
        <v>1158</v>
      </c>
      <c r="K60" s="18"/>
    </row>
    <row r="61" customFormat="false" ht="51.75" hidden="false" customHeight="true" outlineLevel="0" collapsed="false">
      <c r="A61" s="18" t="s">
        <v>361</v>
      </c>
      <c r="B61" s="18" t="s">
        <v>1146</v>
      </c>
      <c r="C61" s="18" t="s">
        <v>1166</v>
      </c>
      <c r="D61" s="18" t="s">
        <v>1767</v>
      </c>
      <c r="E61" s="18" t="s">
        <v>374</v>
      </c>
      <c r="F61" s="18" t="s">
        <v>1763</v>
      </c>
      <c r="G61" s="18" t="s">
        <v>62</v>
      </c>
      <c r="H61" s="18" t="s">
        <v>1732</v>
      </c>
      <c r="I61" s="18" t="n">
        <v>3</v>
      </c>
      <c r="J61" s="18" t="s">
        <v>1168</v>
      </c>
      <c r="K61" s="18" t="s">
        <v>1169</v>
      </c>
    </row>
    <row r="62" customFormat="false" ht="39.75" hidden="false" customHeight="true" outlineLevel="0" collapsed="false">
      <c r="A62" s="18" t="s">
        <v>361</v>
      </c>
      <c r="B62" s="18" t="s">
        <v>1179</v>
      </c>
      <c r="C62" s="18" t="s">
        <v>1178</v>
      </c>
      <c r="D62" s="18" t="s">
        <v>1768</v>
      </c>
      <c r="E62" s="18" t="s">
        <v>360</v>
      </c>
      <c r="F62" s="18" t="s">
        <v>1760</v>
      </c>
      <c r="G62" s="18" t="s">
        <v>150</v>
      </c>
      <c r="H62" s="18" t="s">
        <v>1761</v>
      </c>
      <c r="I62" s="18" t="n">
        <v>3</v>
      </c>
      <c r="J62" s="18" t="s">
        <v>1181</v>
      </c>
      <c r="K62" s="18" t="s">
        <v>1182</v>
      </c>
    </row>
    <row r="63" customFormat="false" ht="78" hidden="false" customHeight="true" outlineLevel="0" collapsed="false">
      <c r="A63" s="18" t="s">
        <v>361</v>
      </c>
      <c r="B63" s="18" t="s">
        <v>1179</v>
      </c>
      <c r="C63" s="18" t="s">
        <v>1188</v>
      </c>
      <c r="D63" s="18" t="s">
        <v>1769</v>
      </c>
      <c r="E63" s="18" t="s">
        <v>381</v>
      </c>
      <c r="F63" s="18" t="s">
        <v>1770</v>
      </c>
      <c r="G63" s="18" t="s">
        <v>62</v>
      </c>
      <c r="H63" s="18" t="s">
        <v>1732</v>
      </c>
      <c r="I63" s="18" t="n">
        <v>3</v>
      </c>
      <c r="J63" s="18" t="s">
        <v>1191</v>
      </c>
      <c r="K63" s="18" t="s">
        <v>1192</v>
      </c>
    </row>
    <row r="64" customFormat="false" ht="78" hidden="false" customHeight="true" outlineLevel="0" collapsed="false">
      <c r="A64" s="18" t="s">
        <v>361</v>
      </c>
      <c r="B64" s="18" t="s">
        <v>1179</v>
      </c>
      <c r="C64" s="18" t="s">
        <v>1198</v>
      </c>
      <c r="D64" s="18" t="s">
        <v>1771</v>
      </c>
      <c r="E64" s="18" t="s">
        <v>360</v>
      </c>
      <c r="F64" s="18" t="s">
        <v>1760</v>
      </c>
      <c r="G64" s="18" t="s">
        <v>150</v>
      </c>
      <c r="H64" s="18" t="s">
        <v>1761</v>
      </c>
      <c r="I64" s="18" t="n">
        <v>3</v>
      </c>
      <c r="J64" s="18" t="s">
        <v>1200</v>
      </c>
      <c r="K64" s="18" t="s">
        <v>1201</v>
      </c>
    </row>
    <row r="65" customFormat="false" ht="51.75" hidden="false" customHeight="true" outlineLevel="0" collapsed="false">
      <c r="A65" s="18" t="s">
        <v>361</v>
      </c>
      <c r="B65" s="18" t="s">
        <v>1210</v>
      </c>
      <c r="C65" s="18" t="s">
        <v>1209</v>
      </c>
      <c r="D65" s="18" t="s">
        <v>1772</v>
      </c>
      <c r="E65" s="18" t="s">
        <v>360</v>
      </c>
      <c r="F65" s="18" t="s">
        <v>1760</v>
      </c>
      <c r="G65" s="18" t="s">
        <v>150</v>
      </c>
      <c r="H65" s="18" t="s">
        <v>1761</v>
      </c>
      <c r="I65" s="18" t="n">
        <v>3</v>
      </c>
      <c r="J65" s="18" t="s">
        <v>1212</v>
      </c>
      <c r="K65" s="18" t="s">
        <v>1213</v>
      </c>
    </row>
    <row r="66" customFormat="false" ht="51.75" hidden="false" customHeight="true" outlineLevel="0" collapsed="false">
      <c r="A66" s="18" t="s">
        <v>361</v>
      </c>
      <c r="B66" s="18" t="s">
        <v>1210</v>
      </c>
      <c r="C66" s="18" t="s">
        <v>1220</v>
      </c>
      <c r="D66" s="18" t="s">
        <v>1773</v>
      </c>
      <c r="E66" s="18" t="s">
        <v>374</v>
      </c>
      <c r="F66" s="18" t="s">
        <v>1763</v>
      </c>
      <c r="G66" s="18" t="s">
        <v>62</v>
      </c>
      <c r="H66" s="18" t="s">
        <v>1732</v>
      </c>
      <c r="I66" s="18" t="n">
        <v>3</v>
      </c>
      <c r="J66" s="18" t="s">
        <v>1222</v>
      </c>
      <c r="K66" s="18"/>
    </row>
    <row r="67" customFormat="false" ht="51.75" hidden="false" customHeight="true" outlineLevel="0" collapsed="false">
      <c r="A67" s="18" t="s">
        <v>361</v>
      </c>
      <c r="B67" s="18" t="s">
        <v>1210</v>
      </c>
      <c r="C67" s="18" t="s">
        <v>1228</v>
      </c>
      <c r="D67" s="18" t="s">
        <v>1774</v>
      </c>
      <c r="E67" s="18" t="s">
        <v>374</v>
      </c>
      <c r="F67" s="18" t="s">
        <v>1763</v>
      </c>
      <c r="G67" s="18" t="s">
        <v>62</v>
      </c>
      <c r="H67" s="18" t="s">
        <v>1732</v>
      </c>
      <c r="I67" s="18" t="n">
        <v>3</v>
      </c>
      <c r="J67" s="18" t="s">
        <v>1230</v>
      </c>
      <c r="K67" s="18" t="s">
        <v>1231</v>
      </c>
    </row>
    <row r="68" customFormat="false" ht="51.75" hidden="false" customHeight="true" outlineLevel="0" collapsed="false">
      <c r="A68" s="18" t="s">
        <v>361</v>
      </c>
      <c r="B68" s="18" t="s">
        <v>1240</v>
      </c>
      <c r="C68" s="18" t="s">
        <v>1239</v>
      </c>
      <c r="D68" s="18" t="s">
        <v>1775</v>
      </c>
      <c r="E68" s="18" t="s">
        <v>360</v>
      </c>
      <c r="F68" s="18" t="s">
        <v>1760</v>
      </c>
      <c r="G68" s="18" t="s">
        <v>150</v>
      </c>
      <c r="H68" s="18" t="s">
        <v>1761</v>
      </c>
      <c r="I68" s="18" t="n">
        <v>4</v>
      </c>
      <c r="J68" s="18" t="s">
        <v>1242</v>
      </c>
      <c r="K68" s="18" t="s">
        <v>1243</v>
      </c>
    </row>
    <row r="69" customFormat="false" ht="51.75" hidden="false" customHeight="true" outlineLevel="0" collapsed="false">
      <c r="A69" s="18" t="s">
        <v>361</v>
      </c>
      <c r="B69" s="18" t="s">
        <v>1240</v>
      </c>
      <c r="C69" s="18" t="s">
        <v>1253</v>
      </c>
      <c r="D69" s="18" t="s">
        <v>1776</v>
      </c>
      <c r="E69" s="18" t="s">
        <v>374</v>
      </c>
      <c r="F69" s="18" t="s">
        <v>1763</v>
      </c>
      <c r="G69" s="18" t="s">
        <v>62</v>
      </c>
      <c r="H69" s="18" t="s">
        <v>1732</v>
      </c>
      <c r="I69" s="18" t="n">
        <v>3</v>
      </c>
      <c r="J69" s="18" t="s">
        <v>1255</v>
      </c>
      <c r="K69" s="18"/>
    </row>
    <row r="70" customFormat="false" ht="78" hidden="false" customHeight="true" outlineLevel="0" collapsed="false">
      <c r="A70" s="18" t="s">
        <v>361</v>
      </c>
      <c r="B70" s="18" t="s">
        <v>1240</v>
      </c>
      <c r="C70" s="18" t="s">
        <v>1263</v>
      </c>
      <c r="D70" s="18" t="s">
        <v>1777</v>
      </c>
      <c r="E70" s="18" t="s">
        <v>374</v>
      </c>
      <c r="F70" s="18" t="s">
        <v>1763</v>
      </c>
      <c r="G70" s="18" t="s">
        <v>62</v>
      </c>
      <c r="H70" s="18" t="s">
        <v>1732</v>
      </c>
      <c r="I70" s="18" t="n">
        <v>3</v>
      </c>
      <c r="J70" s="18" t="s">
        <v>1265</v>
      </c>
      <c r="K70" s="18"/>
    </row>
    <row r="71" customFormat="false" ht="39.75" hidden="false" customHeight="true" outlineLevel="0" collapsed="false">
      <c r="A71" s="18" t="s">
        <v>361</v>
      </c>
      <c r="B71" s="18" t="s">
        <v>1273</v>
      </c>
      <c r="C71" s="18" t="s">
        <v>1272</v>
      </c>
      <c r="D71" s="18" t="s">
        <v>1778</v>
      </c>
      <c r="E71" s="18" t="s">
        <v>360</v>
      </c>
      <c r="F71" s="18" t="s">
        <v>1760</v>
      </c>
      <c r="G71" s="18" t="s">
        <v>150</v>
      </c>
      <c r="H71" s="18" t="s">
        <v>1761</v>
      </c>
      <c r="I71" s="18" t="n">
        <v>3</v>
      </c>
      <c r="J71" s="18" t="s">
        <v>1275</v>
      </c>
      <c r="K71" s="18" t="s">
        <v>1276</v>
      </c>
    </row>
    <row r="72" customFormat="false" ht="39.75" hidden="false" customHeight="true" outlineLevel="0" collapsed="false">
      <c r="A72" s="18" t="s">
        <v>361</v>
      </c>
      <c r="B72" s="18" t="s">
        <v>1273</v>
      </c>
      <c r="C72" s="18" t="s">
        <v>1284</v>
      </c>
      <c r="D72" s="18" t="s">
        <v>1779</v>
      </c>
      <c r="E72" s="18" t="s">
        <v>360</v>
      </c>
      <c r="F72" s="18" t="s">
        <v>1760</v>
      </c>
      <c r="G72" s="18" t="s">
        <v>150</v>
      </c>
      <c r="H72" s="18" t="s">
        <v>1761</v>
      </c>
      <c r="I72" s="18" t="n">
        <v>3</v>
      </c>
      <c r="J72" s="18" t="s">
        <v>1286</v>
      </c>
      <c r="K72" s="18" t="s">
        <v>1287</v>
      </c>
    </row>
    <row r="73" customFormat="false" ht="39.75" hidden="false" customHeight="true" outlineLevel="0" collapsed="false">
      <c r="A73" s="18" t="s">
        <v>361</v>
      </c>
      <c r="B73" s="18" t="s">
        <v>1273</v>
      </c>
      <c r="C73" s="18" t="s">
        <v>1293</v>
      </c>
      <c r="D73" s="18" t="s">
        <v>1780</v>
      </c>
      <c r="E73" s="18" t="s">
        <v>360</v>
      </c>
      <c r="F73" s="18" t="s">
        <v>1760</v>
      </c>
      <c r="G73" s="18" t="s">
        <v>150</v>
      </c>
      <c r="H73" s="18" t="s">
        <v>1761</v>
      </c>
      <c r="I73" s="18" t="n">
        <v>2</v>
      </c>
      <c r="J73" s="18" t="s">
        <v>1295</v>
      </c>
      <c r="K73" s="18" t="s">
        <v>1296</v>
      </c>
    </row>
    <row r="74" customFormat="false" ht="51.75" hidden="false" customHeight="true" outlineLevel="0" collapsed="false">
      <c r="A74" s="18" t="s">
        <v>397</v>
      </c>
      <c r="B74" s="18" t="s">
        <v>1304</v>
      </c>
      <c r="C74" s="18" t="s">
        <v>1303</v>
      </c>
      <c r="D74" s="18" t="s">
        <v>1781</v>
      </c>
      <c r="E74" s="18" t="s">
        <v>406</v>
      </c>
      <c r="F74" s="18" t="s">
        <v>1782</v>
      </c>
      <c r="G74" s="18" t="s">
        <v>150</v>
      </c>
      <c r="H74" s="18" t="s">
        <v>1761</v>
      </c>
      <c r="I74" s="18" t="n">
        <v>3</v>
      </c>
      <c r="J74" s="18" t="s">
        <v>1307</v>
      </c>
      <c r="K74" s="18" t="s">
        <v>1308</v>
      </c>
    </row>
    <row r="75" customFormat="false" ht="51.75" hidden="false" customHeight="true" outlineLevel="0" collapsed="false">
      <c r="A75" s="18" t="s">
        <v>397</v>
      </c>
      <c r="B75" s="18" t="s">
        <v>1304</v>
      </c>
      <c r="C75" s="18" t="s">
        <v>1313</v>
      </c>
      <c r="D75" s="18" t="s">
        <v>1783</v>
      </c>
      <c r="E75" s="18" t="s">
        <v>406</v>
      </c>
      <c r="F75" s="18" t="s">
        <v>1782</v>
      </c>
      <c r="G75" s="18" t="s">
        <v>150</v>
      </c>
      <c r="H75" s="18" t="s">
        <v>1761</v>
      </c>
      <c r="I75" s="18" t="n">
        <v>3</v>
      </c>
      <c r="J75" s="18" t="s">
        <v>1315</v>
      </c>
      <c r="K75" s="18" t="s">
        <v>1316</v>
      </c>
    </row>
    <row r="76" customFormat="false" ht="51.75" hidden="false" customHeight="true" outlineLevel="0" collapsed="false">
      <c r="A76" s="18" t="s">
        <v>397</v>
      </c>
      <c r="B76" s="18" t="s">
        <v>1304</v>
      </c>
      <c r="C76" s="18" t="s">
        <v>1321</v>
      </c>
      <c r="D76" s="18" t="s">
        <v>1784</v>
      </c>
      <c r="E76" s="18" t="s">
        <v>396</v>
      </c>
      <c r="F76" s="18" t="s">
        <v>1785</v>
      </c>
      <c r="G76" s="18" t="s">
        <v>150</v>
      </c>
      <c r="H76" s="18" t="s">
        <v>1761</v>
      </c>
      <c r="I76" s="18" t="n">
        <v>2</v>
      </c>
      <c r="J76" s="18" t="s">
        <v>1324</v>
      </c>
      <c r="K76" s="18" t="s">
        <v>1325</v>
      </c>
    </row>
    <row r="77" customFormat="false" ht="51.75" hidden="false" customHeight="true" outlineLevel="0" collapsed="false">
      <c r="A77" s="18" t="s">
        <v>397</v>
      </c>
      <c r="B77" s="18" t="s">
        <v>1332</v>
      </c>
      <c r="C77" s="18" t="s">
        <v>1331</v>
      </c>
      <c r="D77" s="18" t="s">
        <v>1786</v>
      </c>
      <c r="E77" s="18" t="s">
        <v>396</v>
      </c>
      <c r="F77" s="18" t="s">
        <v>1785</v>
      </c>
      <c r="G77" s="18" t="s">
        <v>150</v>
      </c>
      <c r="H77" s="18" t="s">
        <v>1761</v>
      </c>
      <c r="I77" s="18" t="n">
        <v>2</v>
      </c>
      <c r="J77" s="18" t="s">
        <v>1334</v>
      </c>
      <c r="K77" s="18" t="s">
        <v>1335</v>
      </c>
    </row>
    <row r="78" customFormat="false" ht="51.75" hidden="false" customHeight="true" outlineLevel="0" collapsed="false">
      <c r="A78" s="18" t="s">
        <v>397</v>
      </c>
      <c r="B78" s="18" t="s">
        <v>1332</v>
      </c>
      <c r="C78" s="18" t="s">
        <v>1340</v>
      </c>
      <c r="D78" s="18" t="s">
        <v>1787</v>
      </c>
      <c r="E78" s="18" t="s">
        <v>396</v>
      </c>
      <c r="F78" s="18" t="s">
        <v>1785</v>
      </c>
      <c r="G78" s="18" t="s">
        <v>150</v>
      </c>
      <c r="H78" s="18" t="s">
        <v>1761</v>
      </c>
      <c r="I78" s="18" t="n">
        <v>5</v>
      </c>
      <c r="J78" s="18" t="s">
        <v>1342</v>
      </c>
      <c r="K78" s="18" t="s">
        <v>1343</v>
      </c>
    </row>
    <row r="79" customFormat="false" ht="78" hidden="false" customHeight="true" outlineLevel="0" collapsed="false">
      <c r="A79" s="18" t="s">
        <v>397</v>
      </c>
      <c r="B79" s="18" t="s">
        <v>1332</v>
      </c>
      <c r="C79" s="18" t="s">
        <v>1355</v>
      </c>
      <c r="D79" s="18" t="s">
        <v>1788</v>
      </c>
      <c r="E79" s="18" t="s">
        <v>396</v>
      </c>
      <c r="F79" s="18" t="s">
        <v>1785</v>
      </c>
      <c r="G79" s="18" t="s">
        <v>150</v>
      </c>
      <c r="H79" s="18" t="s">
        <v>1761</v>
      </c>
      <c r="I79" s="18" t="n">
        <v>3</v>
      </c>
      <c r="J79" s="18" t="s">
        <v>1357</v>
      </c>
      <c r="K79" s="18" t="s">
        <v>1358</v>
      </c>
    </row>
    <row r="80" customFormat="false" ht="51.75" hidden="false" customHeight="true" outlineLevel="0" collapsed="false">
      <c r="A80" s="18" t="s">
        <v>397</v>
      </c>
      <c r="B80" s="18" t="s">
        <v>1366</v>
      </c>
      <c r="C80" s="18" t="s">
        <v>1365</v>
      </c>
      <c r="D80" s="18" t="s">
        <v>1789</v>
      </c>
      <c r="E80" s="18" t="s">
        <v>421</v>
      </c>
      <c r="F80" s="18" t="s">
        <v>1790</v>
      </c>
      <c r="G80" s="18" t="s">
        <v>99</v>
      </c>
      <c r="H80" s="18" t="s">
        <v>1697</v>
      </c>
      <c r="I80" s="18" t="n">
        <v>2</v>
      </c>
      <c r="J80" s="18" t="s">
        <v>1369</v>
      </c>
      <c r="K80" s="18" t="s">
        <v>1370</v>
      </c>
    </row>
    <row r="81" customFormat="false" ht="51.75" hidden="false" customHeight="true" outlineLevel="0" collapsed="false">
      <c r="A81" s="18" t="s">
        <v>397</v>
      </c>
      <c r="B81" s="18" t="s">
        <v>1366</v>
      </c>
      <c r="C81" s="18" t="s">
        <v>1374</v>
      </c>
      <c r="D81" s="18" t="s">
        <v>1791</v>
      </c>
      <c r="E81" s="18" t="s">
        <v>421</v>
      </c>
      <c r="F81" s="18" t="s">
        <v>1790</v>
      </c>
      <c r="G81" s="18" t="s">
        <v>99</v>
      </c>
      <c r="H81" s="18" t="s">
        <v>1697</v>
      </c>
      <c r="I81" s="18" t="n">
        <v>2</v>
      </c>
      <c r="J81" s="18" t="s">
        <v>1376</v>
      </c>
      <c r="K81" s="18" t="s">
        <v>1377</v>
      </c>
    </row>
    <row r="82" customFormat="false" ht="51.75" hidden="false" customHeight="true" outlineLevel="0" collapsed="false">
      <c r="A82" s="18" t="s">
        <v>397</v>
      </c>
      <c r="B82" s="18" t="s">
        <v>1366</v>
      </c>
      <c r="C82" s="18" t="s">
        <v>1381</v>
      </c>
      <c r="D82" s="18" t="s">
        <v>1792</v>
      </c>
      <c r="E82" s="18" t="s">
        <v>421</v>
      </c>
      <c r="F82" s="18" t="s">
        <v>1790</v>
      </c>
      <c r="G82" s="18" t="s">
        <v>99</v>
      </c>
      <c r="H82" s="18" t="s">
        <v>1697</v>
      </c>
      <c r="I82" s="18" t="n">
        <v>2</v>
      </c>
      <c r="J82" s="18" t="s">
        <v>1383</v>
      </c>
      <c r="K82" s="18" t="s">
        <v>1384</v>
      </c>
    </row>
    <row r="83" customFormat="false" ht="51.75" hidden="false" customHeight="true" outlineLevel="0" collapsed="false">
      <c r="A83" s="18" t="s">
        <v>432</v>
      </c>
      <c r="B83" s="18" t="s">
        <v>1391</v>
      </c>
      <c r="C83" s="18" t="s">
        <v>1390</v>
      </c>
      <c r="D83" s="18" t="s">
        <v>1793</v>
      </c>
      <c r="E83" s="18" t="s">
        <v>431</v>
      </c>
      <c r="F83" s="18" t="s">
        <v>1794</v>
      </c>
      <c r="G83" s="18" t="s">
        <v>99</v>
      </c>
      <c r="H83" s="18" t="s">
        <v>1697</v>
      </c>
      <c r="I83" s="18" t="n">
        <v>2</v>
      </c>
      <c r="J83" s="18" t="s">
        <v>1394</v>
      </c>
      <c r="K83" s="18" t="s">
        <v>1395</v>
      </c>
    </row>
    <row r="84" customFormat="false" ht="51.75" hidden="false" customHeight="true" outlineLevel="0" collapsed="false">
      <c r="A84" s="18" t="s">
        <v>432</v>
      </c>
      <c r="B84" s="18" t="s">
        <v>1391</v>
      </c>
      <c r="C84" s="18" t="s">
        <v>1400</v>
      </c>
      <c r="D84" s="18" t="s">
        <v>1795</v>
      </c>
      <c r="E84" s="18" t="s">
        <v>431</v>
      </c>
      <c r="F84" s="18" t="s">
        <v>1794</v>
      </c>
      <c r="G84" s="18" t="s">
        <v>99</v>
      </c>
      <c r="H84" s="18" t="s">
        <v>1697</v>
      </c>
      <c r="I84" s="18" t="n">
        <v>3</v>
      </c>
      <c r="J84" s="18" t="s">
        <v>1402</v>
      </c>
      <c r="K84" s="18" t="s">
        <v>1403</v>
      </c>
    </row>
    <row r="85" customFormat="false" ht="51.75" hidden="false" customHeight="true" outlineLevel="0" collapsed="false">
      <c r="A85" s="18" t="s">
        <v>432</v>
      </c>
      <c r="B85" s="18" t="s">
        <v>1391</v>
      </c>
      <c r="C85" s="18" t="s">
        <v>1408</v>
      </c>
      <c r="D85" s="18" t="s">
        <v>1796</v>
      </c>
      <c r="E85" s="18" t="s">
        <v>450</v>
      </c>
      <c r="F85" s="18" t="s">
        <v>1797</v>
      </c>
      <c r="G85" s="18" t="s">
        <v>99</v>
      </c>
      <c r="H85" s="18" t="s">
        <v>1697</v>
      </c>
      <c r="I85" s="18" t="n">
        <v>2</v>
      </c>
      <c r="J85" s="18" t="s">
        <v>1411</v>
      </c>
      <c r="K85" s="18" t="s">
        <v>1412</v>
      </c>
    </row>
    <row r="86" customFormat="false" ht="51.75" hidden="false" customHeight="true" outlineLevel="0" collapsed="false">
      <c r="A86" s="18" t="s">
        <v>432</v>
      </c>
      <c r="B86" s="18" t="s">
        <v>1418</v>
      </c>
      <c r="C86" s="18" t="s">
        <v>1417</v>
      </c>
      <c r="D86" s="18" t="s">
        <v>1798</v>
      </c>
      <c r="E86" s="18" t="s">
        <v>450</v>
      </c>
      <c r="F86" s="18" t="s">
        <v>1797</v>
      </c>
      <c r="G86" s="18" t="s">
        <v>99</v>
      </c>
      <c r="H86" s="18" t="s">
        <v>1697</v>
      </c>
      <c r="I86" s="18" t="n">
        <v>2</v>
      </c>
      <c r="J86" s="18" t="s">
        <v>1420</v>
      </c>
      <c r="K86" s="18"/>
    </row>
    <row r="87" customFormat="false" ht="78" hidden="false" customHeight="true" outlineLevel="0" collapsed="false">
      <c r="A87" s="18" t="s">
        <v>432</v>
      </c>
      <c r="B87" s="18" t="s">
        <v>1418</v>
      </c>
      <c r="C87" s="18" t="s">
        <v>1425</v>
      </c>
      <c r="D87" s="18" t="s">
        <v>1799</v>
      </c>
      <c r="E87" s="18" t="s">
        <v>439</v>
      </c>
      <c r="F87" s="18" t="s">
        <v>1800</v>
      </c>
      <c r="G87" s="18" t="s">
        <v>99</v>
      </c>
      <c r="H87" s="18" t="s">
        <v>1697</v>
      </c>
      <c r="I87" s="18" t="n">
        <v>3</v>
      </c>
      <c r="J87" s="18" t="s">
        <v>1428</v>
      </c>
      <c r="K87" s="18"/>
    </row>
    <row r="88" customFormat="false" ht="78" hidden="false" customHeight="true" outlineLevel="0" collapsed="false">
      <c r="A88" s="18" t="s">
        <v>432</v>
      </c>
      <c r="B88" s="18" t="s">
        <v>1418</v>
      </c>
      <c r="C88" s="18" t="s">
        <v>1435</v>
      </c>
      <c r="D88" s="18" t="s">
        <v>1801</v>
      </c>
      <c r="E88" s="18" t="s">
        <v>450</v>
      </c>
      <c r="F88" s="18" t="s">
        <v>1797</v>
      </c>
      <c r="G88" s="18" t="s">
        <v>99</v>
      </c>
      <c r="H88" s="18" t="s">
        <v>1697</v>
      </c>
      <c r="I88" s="18" t="n">
        <v>3</v>
      </c>
      <c r="J88" s="18" t="s">
        <v>1437</v>
      </c>
      <c r="K88" s="18" t="s">
        <v>1438</v>
      </c>
    </row>
    <row r="89" customFormat="false" ht="51.75" hidden="false" customHeight="true" outlineLevel="0" collapsed="false">
      <c r="A89" s="18" t="s">
        <v>432</v>
      </c>
      <c r="B89" s="18" t="s">
        <v>1447</v>
      </c>
      <c r="C89" s="18" t="s">
        <v>1446</v>
      </c>
      <c r="D89" s="18" t="s">
        <v>1802</v>
      </c>
      <c r="E89" s="18" t="s">
        <v>439</v>
      </c>
      <c r="F89" s="18" t="s">
        <v>1800</v>
      </c>
      <c r="G89" s="18" t="s">
        <v>99</v>
      </c>
      <c r="H89" s="18" t="s">
        <v>1697</v>
      </c>
      <c r="I89" s="18" t="n">
        <v>4</v>
      </c>
      <c r="J89" s="18" t="s">
        <v>1449</v>
      </c>
      <c r="K89" s="18" t="s">
        <v>1450</v>
      </c>
    </row>
    <row r="90" customFormat="false" ht="51.75" hidden="false" customHeight="true" outlineLevel="0" collapsed="false">
      <c r="A90" s="18" t="s">
        <v>432</v>
      </c>
      <c r="B90" s="18" t="s">
        <v>1447</v>
      </c>
      <c r="C90" s="18" t="s">
        <v>1462</v>
      </c>
      <c r="D90" s="18" t="s">
        <v>1803</v>
      </c>
      <c r="E90" s="18" t="s">
        <v>439</v>
      </c>
      <c r="F90" s="18" t="s">
        <v>1800</v>
      </c>
      <c r="G90" s="18" t="s">
        <v>99</v>
      </c>
      <c r="H90" s="18" t="s">
        <v>1697</v>
      </c>
      <c r="I90" s="18" t="n">
        <v>5</v>
      </c>
      <c r="J90" s="18" t="s">
        <v>1464</v>
      </c>
      <c r="K90" s="18" t="s">
        <v>1465</v>
      </c>
    </row>
    <row r="91" customFormat="false" ht="103.5" hidden="false" customHeight="true" outlineLevel="0" collapsed="false">
      <c r="A91" s="18" t="s">
        <v>432</v>
      </c>
      <c r="B91" s="18" t="s">
        <v>1447</v>
      </c>
      <c r="C91" s="18" t="s">
        <v>1473</v>
      </c>
      <c r="D91" s="18" t="s">
        <v>1804</v>
      </c>
      <c r="E91" s="18" t="s">
        <v>450</v>
      </c>
      <c r="F91" s="18" t="s">
        <v>1797</v>
      </c>
      <c r="G91" s="18" t="s">
        <v>99</v>
      </c>
      <c r="H91" s="18" t="s">
        <v>1697</v>
      </c>
      <c r="I91" s="18" t="n">
        <v>3</v>
      </c>
      <c r="J91" s="18" t="s">
        <v>1475</v>
      </c>
      <c r="K91" s="18"/>
    </row>
    <row r="92" customFormat="false" ht="78" hidden="false" customHeight="true" outlineLevel="0" collapsed="false">
      <c r="A92" s="18" t="s">
        <v>432</v>
      </c>
      <c r="B92" s="18" t="s">
        <v>1447</v>
      </c>
      <c r="C92" s="18" t="s">
        <v>1482</v>
      </c>
      <c r="D92" s="18" t="s">
        <v>1805</v>
      </c>
      <c r="E92" s="18" t="s">
        <v>450</v>
      </c>
      <c r="F92" s="18" t="s">
        <v>1797</v>
      </c>
      <c r="G92" s="18" t="s">
        <v>99</v>
      </c>
      <c r="H92" s="18" t="s">
        <v>1697</v>
      </c>
      <c r="I92" s="18" t="n">
        <v>3</v>
      </c>
      <c r="J92" s="18" t="s">
        <v>1484</v>
      </c>
      <c r="K92" s="18" t="s">
        <v>607</v>
      </c>
    </row>
    <row r="93" customFormat="false" ht="51.75" hidden="false" customHeight="true" outlineLevel="0" collapsed="false">
      <c r="A93" s="18" t="s">
        <v>461</v>
      </c>
      <c r="B93" s="18" t="s">
        <v>1494</v>
      </c>
      <c r="C93" s="18" t="s">
        <v>1493</v>
      </c>
      <c r="D93" s="18" t="s">
        <v>1806</v>
      </c>
      <c r="E93" s="18" t="s">
        <v>472</v>
      </c>
      <c r="F93" s="18" t="s">
        <v>1807</v>
      </c>
      <c r="G93" s="18" t="s">
        <v>171</v>
      </c>
      <c r="H93" s="18" t="s">
        <v>1725</v>
      </c>
      <c r="I93" s="18" t="n">
        <v>2</v>
      </c>
      <c r="J93" s="18" t="s">
        <v>1497</v>
      </c>
      <c r="K93" s="18" t="s">
        <v>1498</v>
      </c>
    </row>
    <row r="94" customFormat="false" ht="51.75" hidden="false" customHeight="true" outlineLevel="0" collapsed="false">
      <c r="A94" s="18" t="s">
        <v>461</v>
      </c>
      <c r="B94" s="18" t="s">
        <v>1494</v>
      </c>
      <c r="C94" s="18" t="s">
        <v>1503</v>
      </c>
      <c r="D94" s="18" t="s">
        <v>1808</v>
      </c>
      <c r="E94" s="18" t="s">
        <v>472</v>
      </c>
      <c r="F94" s="18" t="s">
        <v>1807</v>
      </c>
      <c r="G94" s="18" t="s">
        <v>171</v>
      </c>
      <c r="H94" s="18" t="s">
        <v>1725</v>
      </c>
      <c r="I94" s="18" t="n">
        <v>3</v>
      </c>
      <c r="J94" s="18" t="s">
        <v>1505</v>
      </c>
      <c r="K94" s="18"/>
    </row>
    <row r="95" customFormat="false" ht="39.75" hidden="false" customHeight="true" outlineLevel="0" collapsed="false">
      <c r="A95" s="18" t="s">
        <v>461</v>
      </c>
      <c r="B95" s="18" t="s">
        <v>1494</v>
      </c>
      <c r="C95" s="18" t="s">
        <v>1513</v>
      </c>
      <c r="D95" s="18" t="s">
        <v>1809</v>
      </c>
      <c r="E95" s="18" t="s">
        <v>460</v>
      </c>
      <c r="F95" s="18" t="s">
        <v>1810</v>
      </c>
      <c r="G95" s="18" t="s">
        <v>171</v>
      </c>
      <c r="H95" s="18" t="s">
        <v>1725</v>
      </c>
      <c r="I95" s="18" t="n">
        <v>2</v>
      </c>
      <c r="J95" s="18" t="s">
        <v>1516</v>
      </c>
      <c r="K95" s="18"/>
    </row>
    <row r="96" customFormat="false" ht="51.75" hidden="false" customHeight="true" outlineLevel="0" collapsed="false">
      <c r="A96" s="18" t="s">
        <v>461</v>
      </c>
      <c r="B96" s="18" t="s">
        <v>1523</v>
      </c>
      <c r="C96" s="18" t="s">
        <v>1522</v>
      </c>
      <c r="D96" s="18" t="s">
        <v>1811</v>
      </c>
      <c r="E96" s="18" t="s">
        <v>460</v>
      </c>
      <c r="F96" s="18" t="s">
        <v>1810</v>
      </c>
      <c r="G96" s="18" t="s">
        <v>171</v>
      </c>
      <c r="H96" s="18" t="s">
        <v>1725</v>
      </c>
      <c r="I96" s="18" t="n">
        <v>2</v>
      </c>
      <c r="J96" s="18" t="s">
        <v>1525</v>
      </c>
      <c r="K96" s="18"/>
    </row>
    <row r="97" customFormat="false" ht="51.75" hidden="false" customHeight="true" outlineLevel="0" collapsed="false">
      <c r="A97" s="18" t="s">
        <v>461</v>
      </c>
      <c r="B97" s="18" t="s">
        <v>1523</v>
      </c>
      <c r="C97" s="18" t="s">
        <v>1530</v>
      </c>
      <c r="D97" s="18" t="s">
        <v>1812</v>
      </c>
      <c r="E97" s="18" t="s">
        <v>460</v>
      </c>
      <c r="F97" s="18" t="s">
        <v>1810</v>
      </c>
      <c r="G97" s="18" t="s">
        <v>171</v>
      </c>
      <c r="H97" s="18" t="s">
        <v>1725</v>
      </c>
      <c r="I97" s="18" t="n">
        <v>2</v>
      </c>
      <c r="J97" s="18" t="s">
        <v>1532</v>
      </c>
      <c r="K97" s="18"/>
    </row>
    <row r="98" customFormat="false" ht="51.75" hidden="false" customHeight="true" outlineLevel="0" collapsed="false">
      <c r="A98" s="18" t="s">
        <v>461</v>
      </c>
      <c r="B98" s="18" t="s">
        <v>1523</v>
      </c>
      <c r="C98" s="18" t="s">
        <v>1537</v>
      </c>
      <c r="D98" s="18" t="s">
        <v>1813</v>
      </c>
      <c r="E98" s="18" t="s">
        <v>460</v>
      </c>
      <c r="F98" s="18" t="s">
        <v>1810</v>
      </c>
      <c r="G98" s="18" t="s">
        <v>171</v>
      </c>
      <c r="H98" s="18" t="s">
        <v>1725</v>
      </c>
      <c r="I98" s="18" t="n">
        <v>3</v>
      </c>
      <c r="J98" s="18" t="s">
        <v>1539</v>
      </c>
      <c r="K98" s="18" t="s">
        <v>1540</v>
      </c>
    </row>
    <row r="99" customFormat="false" ht="78" hidden="false" customHeight="true" outlineLevel="0" collapsed="false">
      <c r="A99" s="18" t="s">
        <v>461</v>
      </c>
      <c r="B99" s="18" t="s">
        <v>1547</v>
      </c>
      <c r="C99" s="18" t="s">
        <v>1546</v>
      </c>
      <c r="D99" s="18" t="s">
        <v>1814</v>
      </c>
      <c r="E99" s="18" t="s">
        <v>472</v>
      </c>
      <c r="F99" s="18" t="s">
        <v>1807</v>
      </c>
      <c r="G99" s="18" t="s">
        <v>171</v>
      </c>
      <c r="H99" s="18" t="s">
        <v>1725</v>
      </c>
      <c r="I99" s="18" t="n">
        <v>3</v>
      </c>
      <c r="J99" s="18" t="s">
        <v>1549</v>
      </c>
      <c r="K99" s="18" t="s">
        <v>1550</v>
      </c>
    </row>
    <row r="100" customFormat="false" ht="39.75" hidden="false" customHeight="true" outlineLevel="0" collapsed="false">
      <c r="A100" s="18" t="s">
        <v>461</v>
      </c>
      <c r="B100" s="18" t="s">
        <v>1547</v>
      </c>
      <c r="C100" s="18" t="s">
        <v>1559</v>
      </c>
      <c r="D100" s="18" t="s">
        <v>1815</v>
      </c>
      <c r="E100" s="18" t="s">
        <v>472</v>
      </c>
      <c r="F100" s="18" t="s">
        <v>1807</v>
      </c>
      <c r="G100" s="18" t="s">
        <v>171</v>
      </c>
      <c r="H100" s="18" t="s">
        <v>1725</v>
      </c>
      <c r="I100" s="18" t="n">
        <v>3</v>
      </c>
      <c r="J100" s="18" t="s">
        <v>1561</v>
      </c>
      <c r="K100" s="18" t="s">
        <v>1562</v>
      </c>
    </row>
    <row r="101" customFormat="false" ht="78" hidden="false" customHeight="true" outlineLevel="0" collapsed="false">
      <c r="A101" s="18" t="s">
        <v>461</v>
      </c>
      <c r="B101" s="18" t="s">
        <v>1547</v>
      </c>
      <c r="C101" s="18" t="s">
        <v>1567</v>
      </c>
      <c r="D101" s="18" t="s">
        <v>1816</v>
      </c>
      <c r="E101" s="18" t="s">
        <v>472</v>
      </c>
      <c r="F101" s="18" t="s">
        <v>1807</v>
      </c>
      <c r="G101" s="18" t="s">
        <v>171</v>
      </c>
      <c r="H101" s="18" t="s">
        <v>1725</v>
      </c>
      <c r="I101" s="18" t="n">
        <v>4</v>
      </c>
      <c r="J101" s="18" t="s">
        <v>1569</v>
      </c>
      <c r="K101" s="18" t="s">
        <v>1570</v>
      </c>
    </row>
    <row r="102" customFormat="false" ht="78" hidden="false" customHeight="true" outlineLevel="0" collapsed="false">
      <c r="A102" s="18" t="s">
        <v>461</v>
      </c>
      <c r="B102" s="18" t="s">
        <v>1580</v>
      </c>
      <c r="C102" s="18" t="s">
        <v>1579</v>
      </c>
      <c r="D102" s="18" t="s">
        <v>1817</v>
      </c>
      <c r="E102" s="18" t="s">
        <v>488</v>
      </c>
      <c r="F102" s="18" t="s">
        <v>1818</v>
      </c>
      <c r="G102" s="18" t="s">
        <v>171</v>
      </c>
      <c r="H102" s="18" t="s">
        <v>1725</v>
      </c>
      <c r="I102" s="18" t="n">
        <v>2</v>
      </c>
      <c r="J102" s="18" t="s">
        <v>1583</v>
      </c>
      <c r="K102" s="18"/>
    </row>
    <row r="103" customFormat="false" ht="51.75" hidden="false" customHeight="true" outlineLevel="0" collapsed="false">
      <c r="A103" s="18" t="s">
        <v>461</v>
      </c>
      <c r="B103" s="18" t="s">
        <v>1580</v>
      </c>
      <c r="C103" s="18" t="s">
        <v>1588</v>
      </c>
      <c r="D103" s="18" t="s">
        <v>1819</v>
      </c>
      <c r="E103" s="18" t="s">
        <v>488</v>
      </c>
      <c r="F103" s="18" t="s">
        <v>1818</v>
      </c>
      <c r="G103" s="18" t="s">
        <v>171</v>
      </c>
      <c r="H103" s="18" t="s">
        <v>1725</v>
      </c>
      <c r="I103" s="18" t="n">
        <v>3</v>
      </c>
      <c r="J103" s="18" t="s">
        <v>1590</v>
      </c>
      <c r="K103" s="18"/>
    </row>
    <row r="104" customFormat="false" ht="39.75" hidden="false" customHeight="true" outlineLevel="0" collapsed="false">
      <c r="A104" s="18" t="s">
        <v>461</v>
      </c>
      <c r="B104" s="18" t="s">
        <v>1580</v>
      </c>
      <c r="C104" s="18" t="s">
        <v>1597</v>
      </c>
      <c r="D104" s="18" t="s">
        <v>1820</v>
      </c>
      <c r="E104" s="18" t="s">
        <v>488</v>
      </c>
      <c r="F104" s="18" t="s">
        <v>1818</v>
      </c>
      <c r="G104" s="18" t="s">
        <v>171</v>
      </c>
      <c r="H104" s="18" t="s">
        <v>1725</v>
      </c>
      <c r="I104" s="18" t="n">
        <v>2</v>
      </c>
      <c r="J104" s="18" t="s">
        <v>1599</v>
      </c>
      <c r="K104" s="18" t="s">
        <v>1600</v>
      </c>
    </row>
    <row r="105" customFormat="false" ht="51.75" hidden="false" customHeight="true" outlineLevel="0" collapsed="false">
      <c r="A105" s="18" t="s">
        <v>501</v>
      </c>
      <c r="B105" s="18" t="s">
        <v>1605</v>
      </c>
      <c r="C105" s="18" t="s">
        <v>1604</v>
      </c>
      <c r="D105" s="18" t="s">
        <v>1821</v>
      </c>
      <c r="E105" s="18" t="s">
        <v>511</v>
      </c>
      <c r="F105" s="18" t="s">
        <v>1822</v>
      </c>
      <c r="G105" s="18" t="s">
        <v>171</v>
      </c>
      <c r="H105" s="18" t="s">
        <v>1725</v>
      </c>
      <c r="I105" s="18" t="n">
        <v>4</v>
      </c>
      <c r="J105" s="18" t="s">
        <v>1608</v>
      </c>
      <c r="K105" s="18" t="s">
        <v>607</v>
      </c>
    </row>
    <row r="106" customFormat="false" ht="39.75" hidden="false" customHeight="true" outlineLevel="0" collapsed="false">
      <c r="A106" s="18" t="s">
        <v>501</v>
      </c>
      <c r="B106" s="18" t="s">
        <v>1605</v>
      </c>
      <c r="C106" s="18" t="s">
        <v>1614</v>
      </c>
      <c r="D106" s="18" t="s">
        <v>1823</v>
      </c>
      <c r="E106" s="18" t="s">
        <v>511</v>
      </c>
      <c r="F106" s="18" t="s">
        <v>1822</v>
      </c>
      <c r="G106" s="18" t="s">
        <v>171</v>
      </c>
      <c r="H106" s="18" t="s">
        <v>1725</v>
      </c>
      <c r="I106" s="18" t="n">
        <v>3</v>
      </c>
      <c r="J106" s="18" t="s">
        <v>1616</v>
      </c>
      <c r="K106" s="18"/>
    </row>
    <row r="107" customFormat="false" ht="51.75" hidden="false" customHeight="true" outlineLevel="0" collapsed="false">
      <c r="A107" s="18" t="s">
        <v>501</v>
      </c>
      <c r="B107" s="18" t="s">
        <v>1605</v>
      </c>
      <c r="C107" s="18" t="s">
        <v>1623</v>
      </c>
      <c r="D107" s="18" t="s">
        <v>1824</v>
      </c>
      <c r="E107" s="18" t="s">
        <v>526</v>
      </c>
      <c r="F107" s="18" t="s">
        <v>1825</v>
      </c>
      <c r="G107" s="18" t="s">
        <v>171</v>
      </c>
      <c r="H107" s="18" t="s">
        <v>1725</v>
      </c>
      <c r="I107" s="18" t="n">
        <v>3</v>
      </c>
      <c r="J107" s="18" t="s">
        <v>1626</v>
      </c>
      <c r="K107" s="18"/>
    </row>
    <row r="108" customFormat="false" ht="103.5" hidden="false" customHeight="true" outlineLevel="0" collapsed="false">
      <c r="A108" s="18" t="s">
        <v>501</v>
      </c>
      <c r="B108" s="18" t="s">
        <v>1634</v>
      </c>
      <c r="C108" s="18" t="s">
        <v>1633</v>
      </c>
      <c r="D108" s="18" t="s">
        <v>1826</v>
      </c>
      <c r="E108" s="18" t="s">
        <v>500</v>
      </c>
      <c r="F108" s="18" t="s">
        <v>1827</v>
      </c>
      <c r="G108" s="18" t="s">
        <v>171</v>
      </c>
      <c r="H108" s="18" t="s">
        <v>1725</v>
      </c>
      <c r="I108" s="18" t="n">
        <v>4</v>
      </c>
      <c r="J108" s="18" t="s">
        <v>1637</v>
      </c>
      <c r="K108" s="18" t="s">
        <v>1638</v>
      </c>
    </row>
    <row r="109" customFormat="false" ht="78" hidden="false" customHeight="true" outlineLevel="0" collapsed="false">
      <c r="A109" s="18" t="s">
        <v>501</v>
      </c>
      <c r="B109" s="18" t="s">
        <v>1634</v>
      </c>
      <c r="C109" s="18" t="s">
        <v>1648</v>
      </c>
      <c r="D109" s="18" t="s">
        <v>1828</v>
      </c>
      <c r="E109" s="18" t="s">
        <v>500</v>
      </c>
      <c r="F109" s="18" t="s">
        <v>1827</v>
      </c>
      <c r="G109" s="18" t="s">
        <v>171</v>
      </c>
      <c r="H109" s="18" t="s">
        <v>1725</v>
      </c>
      <c r="I109" s="18" t="n">
        <v>6</v>
      </c>
      <c r="J109" s="18" t="s">
        <v>1650</v>
      </c>
      <c r="K109" s="18" t="s">
        <v>1651</v>
      </c>
    </row>
    <row r="110" customFormat="false" ht="78" hidden="false" customHeight="true" outlineLevel="0" collapsed="false">
      <c r="A110" s="18" t="s">
        <v>501</v>
      </c>
      <c r="B110" s="18" t="s">
        <v>1634</v>
      </c>
      <c r="C110" s="18" t="s">
        <v>1666</v>
      </c>
      <c r="D110" s="18" t="s">
        <v>1829</v>
      </c>
      <c r="E110" s="18" t="s">
        <v>526</v>
      </c>
      <c r="F110" s="18" t="s">
        <v>1825</v>
      </c>
      <c r="G110" s="18" t="s">
        <v>171</v>
      </c>
      <c r="H110" s="18" t="s">
        <v>1725</v>
      </c>
      <c r="I110" s="18" t="n">
        <v>4</v>
      </c>
      <c r="J110" s="18" t="s">
        <v>1668</v>
      </c>
      <c r="K110" s="18" t="s">
        <v>1669</v>
      </c>
    </row>
  </sheetData>
  <autoFilter ref="A1:K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G22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7"/>
    <col collapsed="false" customWidth="true" hidden="false" outlineLevel="0" max="4" min="4" style="0" width="70"/>
    <col collapsed="false" customWidth="true" hidden="false" outlineLevel="0" max="5" min="5" style="0" width="50"/>
    <col collapsed="false" customWidth="true" hidden="false" outlineLevel="0" max="6" min="6" style="0" width="12"/>
    <col collapsed="false" customWidth="true" hidden="false" outlineLevel="0" max="7" min="7" style="0" width="45"/>
  </cols>
  <sheetData>
    <row r="1" customFormat="false" ht="23.85" hidden="false" customHeight="false" outlineLevel="0" collapsed="false">
      <c r="A1" s="11" t="s">
        <v>1678</v>
      </c>
      <c r="B1" s="11" t="s">
        <v>1679</v>
      </c>
      <c r="C1" s="11" t="s">
        <v>1830</v>
      </c>
      <c r="D1" s="11" t="s">
        <v>1831</v>
      </c>
      <c r="E1" s="11" t="s">
        <v>1832</v>
      </c>
      <c r="F1" s="11" t="s">
        <v>1833</v>
      </c>
      <c r="G1" s="11" t="s">
        <v>1834</v>
      </c>
    </row>
    <row r="2" customFormat="false" ht="36" hidden="false" customHeight="true" outlineLevel="0" collapsed="false">
      <c r="A2" s="18" t="s">
        <v>199</v>
      </c>
      <c r="B2" s="18" t="s">
        <v>541</v>
      </c>
      <c r="C2" s="18" t="n">
        <v>1</v>
      </c>
      <c r="D2" s="18" t="s">
        <v>1835</v>
      </c>
      <c r="E2" s="18" t="s">
        <v>1836</v>
      </c>
      <c r="F2" s="18" t="s">
        <v>540</v>
      </c>
      <c r="G2" s="18" t="s">
        <v>1837</v>
      </c>
    </row>
    <row r="3" customFormat="false" ht="36" hidden="false" customHeight="true" outlineLevel="0" collapsed="false">
      <c r="A3" s="18" t="s">
        <v>199</v>
      </c>
      <c r="B3" s="18" t="s">
        <v>541</v>
      </c>
      <c r="C3" s="18" t="n">
        <v>2</v>
      </c>
      <c r="D3" s="18" t="s">
        <v>1838</v>
      </c>
      <c r="E3" s="18" t="s">
        <v>1839</v>
      </c>
      <c r="F3" s="18" t="s">
        <v>549</v>
      </c>
      <c r="G3" s="18" t="s">
        <v>1840</v>
      </c>
    </row>
    <row r="4" customFormat="false" ht="36" hidden="false" customHeight="true" outlineLevel="0" collapsed="false">
      <c r="A4" s="18" t="s">
        <v>199</v>
      </c>
      <c r="B4" s="18" t="s">
        <v>541</v>
      </c>
      <c r="C4" s="18" t="n">
        <v>3</v>
      </c>
      <c r="D4" s="18" t="s">
        <v>1841</v>
      </c>
      <c r="E4" s="18" t="s">
        <v>1842</v>
      </c>
      <c r="F4" s="18" t="s">
        <v>556</v>
      </c>
      <c r="G4" s="18" t="s">
        <v>1843</v>
      </c>
    </row>
    <row r="5" customFormat="false" ht="36" hidden="false" customHeight="true" outlineLevel="0" collapsed="false">
      <c r="A5" s="18" t="s">
        <v>199</v>
      </c>
      <c r="B5" s="18" t="s">
        <v>541</v>
      </c>
      <c r="C5" s="18" t="n">
        <v>4</v>
      </c>
      <c r="D5" s="18" t="s">
        <v>1844</v>
      </c>
      <c r="E5" s="18" t="s">
        <v>1845</v>
      </c>
      <c r="F5" s="18" t="s">
        <v>566</v>
      </c>
      <c r="G5" s="18" t="s">
        <v>1846</v>
      </c>
    </row>
    <row r="6" customFormat="false" ht="36" hidden="false" customHeight="true" outlineLevel="0" collapsed="false">
      <c r="A6" s="18" t="s">
        <v>199</v>
      </c>
      <c r="B6" s="18" t="s">
        <v>541</v>
      </c>
      <c r="C6" s="18" t="n">
        <v>5</v>
      </c>
      <c r="D6" s="18" t="s">
        <v>1847</v>
      </c>
      <c r="E6" s="18"/>
      <c r="F6" s="18" t="s">
        <v>556</v>
      </c>
      <c r="G6" s="18"/>
    </row>
    <row r="7" customFormat="false" ht="36" hidden="false" customHeight="true" outlineLevel="0" collapsed="false">
      <c r="A7" s="18" t="s">
        <v>199</v>
      </c>
      <c r="B7" s="18" t="s">
        <v>541</v>
      </c>
      <c r="C7" s="18" t="n">
        <v>6</v>
      </c>
      <c r="D7" s="18" t="s">
        <v>1848</v>
      </c>
      <c r="E7" s="18"/>
      <c r="F7" s="18" t="s">
        <v>540</v>
      </c>
      <c r="G7" s="18"/>
    </row>
    <row r="8" customFormat="false" ht="36" hidden="false" customHeight="true" outlineLevel="0" collapsed="false">
      <c r="A8" s="18" t="s">
        <v>199</v>
      </c>
      <c r="B8" s="18" t="s">
        <v>580</v>
      </c>
      <c r="C8" s="18" t="n">
        <v>1</v>
      </c>
      <c r="D8" s="18" t="s">
        <v>1849</v>
      </c>
      <c r="E8" s="18" t="s">
        <v>1850</v>
      </c>
      <c r="F8" s="18" t="s">
        <v>579</v>
      </c>
      <c r="G8" s="18" t="s">
        <v>1851</v>
      </c>
    </row>
    <row r="9" customFormat="false" ht="36" hidden="false" customHeight="true" outlineLevel="0" collapsed="false">
      <c r="A9" s="18" t="s">
        <v>199</v>
      </c>
      <c r="B9" s="18" t="s">
        <v>580</v>
      </c>
      <c r="C9" s="18" t="n">
        <v>2</v>
      </c>
      <c r="D9" s="18" t="s">
        <v>1852</v>
      </c>
      <c r="E9" s="18"/>
      <c r="F9" s="18" t="s">
        <v>589</v>
      </c>
      <c r="G9" s="18"/>
    </row>
    <row r="10" customFormat="false" ht="36" hidden="false" customHeight="true" outlineLevel="0" collapsed="false">
      <c r="A10" s="18" t="s">
        <v>199</v>
      </c>
      <c r="B10" s="18" t="s">
        <v>580</v>
      </c>
      <c r="C10" s="18" t="n">
        <v>3</v>
      </c>
      <c r="D10" s="18" t="s">
        <v>1853</v>
      </c>
      <c r="E10" s="18" t="s">
        <v>1854</v>
      </c>
      <c r="F10" s="18" t="s">
        <v>596</v>
      </c>
      <c r="G10" s="18" t="s">
        <v>1855</v>
      </c>
    </row>
    <row r="11" customFormat="false" ht="36" hidden="false" customHeight="true" outlineLevel="0" collapsed="false">
      <c r="A11" s="18" t="s">
        <v>199</v>
      </c>
      <c r="B11" s="18" t="s">
        <v>580</v>
      </c>
      <c r="C11" s="18" t="n">
        <v>4</v>
      </c>
      <c r="D11" s="18" t="s">
        <v>1856</v>
      </c>
      <c r="E11" s="18" t="s">
        <v>1857</v>
      </c>
      <c r="F11" s="18" t="s">
        <v>596</v>
      </c>
      <c r="G11" s="18" t="s">
        <v>1858</v>
      </c>
    </row>
    <row r="12" customFormat="false" ht="36" hidden="false" customHeight="true" outlineLevel="0" collapsed="false">
      <c r="A12" s="18" t="s">
        <v>199</v>
      </c>
      <c r="B12" s="18" t="s">
        <v>580</v>
      </c>
      <c r="C12" s="18" t="n">
        <v>5</v>
      </c>
      <c r="D12" s="18" t="s">
        <v>1859</v>
      </c>
      <c r="E12" s="18" t="s">
        <v>1860</v>
      </c>
      <c r="F12" s="18" t="s">
        <v>604</v>
      </c>
      <c r="G12" s="18"/>
    </row>
    <row r="13" customFormat="false" ht="36" hidden="false" customHeight="true" outlineLevel="0" collapsed="false">
      <c r="A13" s="18" t="s">
        <v>199</v>
      </c>
      <c r="B13" s="18" t="s">
        <v>580</v>
      </c>
      <c r="C13" s="18" t="n">
        <v>6</v>
      </c>
      <c r="D13" s="18" t="s">
        <v>1861</v>
      </c>
      <c r="E13" s="18" t="s">
        <v>1862</v>
      </c>
      <c r="F13" s="18" t="s">
        <v>604</v>
      </c>
      <c r="G13" s="18"/>
    </row>
    <row r="14" customFormat="false" ht="36" hidden="false" customHeight="true" outlineLevel="0" collapsed="false">
      <c r="A14" s="18" t="s">
        <v>199</v>
      </c>
      <c r="B14" s="18" t="s">
        <v>617</v>
      </c>
      <c r="C14" s="18" t="n">
        <v>1</v>
      </c>
      <c r="D14" s="18" t="s">
        <v>1863</v>
      </c>
      <c r="E14" s="18"/>
      <c r="F14" s="18" t="s">
        <v>616</v>
      </c>
      <c r="G14" s="18"/>
    </row>
    <row r="15" customFormat="false" ht="36" hidden="false" customHeight="true" outlineLevel="0" collapsed="false">
      <c r="A15" s="18" t="s">
        <v>199</v>
      </c>
      <c r="B15" s="18" t="s">
        <v>617</v>
      </c>
      <c r="C15" s="18" t="n">
        <v>2</v>
      </c>
      <c r="D15" s="18" t="s">
        <v>1864</v>
      </c>
      <c r="E15" s="18"/>
      <c r="F15" s="18" t="s">
        <v>630</v>
      </c>
      <c r="G15" s="18"/>
    </row>
    <row r="16" customFormat="false" ht="36" hidden="false" customHeight="true" outlineLevel="0" collapsed="false">
      <c r="A16" s="18" t="s">
        <v>199</v>
      </c>
      <c r="B16" s="18" t="s">
        <v>617</v>
      </c>
      <c r="C16" s="18" t="n">
        <v>3</v>
      </c>
      <c r="D16" s="18" t="s">
        <v>1865</v>
      </c>
      <c r="E16" s="18" t="s">
        <v>1866</v>
      </c>
      <c r="F16" s="18" t="s">
        <v>640</v>
      </c>
      <c r="G16" s="18" t="s">
        <v>1867</v>
      </c>
    </row>
    <row r="17" customFormat="false" ht="36" hidden="false" customHeight="true" outlineLevel="0" collapsed="false">
      <c r="A17" s="18" t="s">
        <v>199</v>
      </c>
      <c r="B17" s="18" t="s">
        <v>617</v>
      </c>
      <c r="C17" s="18" t="n">
        <v>4</v>
      </c>
      <c r="D17" s="18" t="s">
        <v>1868</v>
      </c>
      <c r="E17" s="18" t="s">
        <v>1869</v>
      </c>
      <c r="F17" s="18" t="s">
        <v>651</v>
      </c>
      <c r="G17" s="18" t="s">
        <v>1870</v>
      </c>
    </row>
    <row r="18" customFormat="false" ht="36" hidden="false" customHeight="true" outlineLevel="0" collapsed="false">
      <c r="A18" s="18" t="s">
        <v>199</v>
      </c>
      <c r="B18" s="18" t="s">
        <v>617</v>
      </c>
      <c r="C18" s="18" t="n">
        <v>5</v>
      </c>
      <c r="D18" s="18" t="s">
        <v>1871</v>
      </c>
      <c r="E18" s="18" t="s">
        <v>1872</v>
      </c>
      <c r="F18" s="18" t="s">
        <v>616</v>
      </c>
      <c r="G18" s="18"/>
    </row>
    <row r="19" customFormat="false" ht="36" hidden="false" customHeight="true" outlineLevel="0" collapsed="false">
      <c r="A19" s="18" t="s">
        <v>199</v>
      </c>
      <c r="B19" s="18" t="s">
        <v>662</v>
      </c>
      <c r="C19" s="18" t="n">
        <v>1</v>
      </c>
      <c r="D19" s="18" t="s">
        <v>1873</v>
      </c>
      <c r="E19" s="18" t="s">
        <v>1874</v>
      </c>
      <c r="F19" s="18" t="s">
        <v>661</v>
      </c>
      <c r="G19" s="18" t="s">
        <v>1875</v>
      </c>
    </row>
    <row r="20" customFormat="false" ht="36" hidden="false" customHeight="true" outlineLevel="0" collapsed="false">
      <c r="A20" s="18" t="s">
        <v>199</v>
      </c>
      <c r="B20" s="18" t="s">
        <v>662</v>
      </c>
      <c r="C20" s="18" t="n">
        <v>2</v>
      </c>
      <c r="D20" s="18" t="s">
        <v>1876</v>
      </c>
      <c r="E20" s="18" t="s">
        <v>1877</v>
      </c>
      <c r="F20" s="18" t="s">
        <v>670</v>
      </c>
      <c r="G20" s="18" t="s">
        <v>673</v>
      </c>
    </row>
    <row r="21" customFormat="false" ht="36" hidden="false" customHeight="true" outlineLevel="0" collapsed="false">
      <c r="A21" s="18" t="s">
        <v>199</v>
      </c>
      <c r="B21" s="18" t="s">
        <v>662</v>
      </c>
      <c r="C21" s="18" t="n">
        <v>3</v>
      </c>
      <c r="D21" s="18" t="s">
        <v>1878</v>
      </c>
      <c r="E21" s="18" t="s">
        <v>1879</v>
      </c>
      <c r="F21" s="18" t="s">
        <v>670</v>
      </c>
      <c r="G21" s="18"/>
    </row>
    <row r="22" customFormat="false" ht="36" hidden="false" customHeight="true" outlineLevel="0" collapsed="false">
      <c r="A22" s="18" t="s">
        <v>199</v>
      </c>
      <c r="B22" s="18" t="s">
        <v>662</v>
      </c>
      <c r="C22" s="18" t="n">
        <v>4</v>
      </c>
      <c r="D22" s="18" t="s">
        <v>1880</v>
      </c>
      <c r="E22" s="18" t="s">
        <v>1881</v>
      </c>
      <c r="F22" s="18" t="s">
        <v>678</v>
      </c>
      <c r="G22" s="18" t="s">
        <v>1882</v>
      </c>
    </row>
    <row r="23" customFormat="false" ht="36" hidden="false" customHeight="true" outlineLevel="0" collapsed="false">
      <c r="A23" s="18" t="s">
        <v>199</v>
      </c>
      <c r="B23" s="18" t="s">
        <v>662</v>
      </c>
      <c r="C23" s="18" t="n">
        <v>5</v>
      </c>
      <c r="D23" s="18" t="s">
        <v>1883</v>
      </c>
      <c r="E23" s="18" t="s">
        <v>1884</v>
      </c>
      <c r="F23" s="18" t="s">
        <v>661</v>
      </c>
      <c r="G23" s="18" t="s">
        <v>1885</v>
      </c>
    </row>
    <row r="24" customFormat="false" ht="36" hidden="false" customHeight="true" outlineLevel="0" collapsed="false">
      <c r="A24" s="18" t="s">
        <v>199</v>
      </c>
      <c r="B24" s="18" t="s">
        <v>688</v>
      </c>
      <c r="C24" s="18" t="n">
        <v>1</v>
      </c>
      <c r="D24" s="18" t="s">
        <v>1886</v>
      </c>
      <c r="E24" s="18" t="s">
        <v>1887</v>
      </c>
      <c r="F24" s="18" t="s">
        <v>687</v>
      </c>
      <c r="G24" s="18"/>
    </row>
    <row r="25" customFormat="false" ht="36" hidden="false" customHeight="true" outlineLevel="0" collapsed="false">
      <c r="A25" s="18" t="s">
        <v>199</v>
      </c>
      <c r="B25" s="18" t="s">
        <v>688</v>
      </c>
      <c r="C25" s="18" t="n">
        <v>2</v>
      </c>
      <c r="D25" s="18" t="s">
        <v>1888</v>
      </c>
      <c r="E25" s="18" t="s">
        <v>1889</v>
      </c>
      <c r="F25" s="18" t="s">
        <v>695</v>
      </c>
      <c r="G25" s="18"/>
    </row>
    <row r="26" customFormat="false" ht="36" hidden="false" customHeight="true" outlineLevel="0" collapsed="false">
      <c r="A26" s="18" t="s">
        <v>199</v>
      </c>
      <c r="B26" s="18" t="s">
        <v>688</v>
      </c>
      <c r="C26" s="18" t="n">
        <v>3</v>
      </c>
      <c r="D26" s="18" t="s">
        <v>1890</v>
      </c>
      <c r="E26" s="18" t="s">
        <v>1891</v>
      </c>
      <c r="F26" s="18" t="s">
        <v>687</v>
      </c>
      <c r="G26" s="18"/>
    </row>
    <row r="27" customFormat="false" ht="36" hidden="false" customHeight="true" outlineLevel="0" collapsed="false">
      <c r="A27" s="18" t="s">
        <v>199</v>
      </c>
      <c r="B27" s="18" t="s">
        <v>688</v>
      </c>
      <c r="C27" s="18" t="n">
        <v>4</v>
      </c>
      <c r="D27" s="18" t="s">
        <v>1892</v>
      </c>
      <c r="E27" s="18" t="s">
        <v>1893</v>
      </c>
      <c r="F27" s="18" t="s">
        <v>695</v>
      </c>
      <c r="G27" s="18" t="s">
        <v>1894</v>
      </c>
    </row>
    <row r="28" customFormat="false" ht="36" hidden="false" customHeight="true" outlineLevel="0" collapsed="false">
      <c r="A28" s="18" t="s">
        <v>199</v>
      </c>
      <c r="B28" s="18" t="s">
        <v>688</v>
      </c>
      <c r="C28" s="18" t="n">
        <v>5</v>
      </c>
      <c r="D28" s="18" t="s">
        <v>1895</v>
      </c>
      <c r="E28" s="18" t="s">
        <v>1896</v>
      </c>
      <c r="F28" s="18" t="s">
        <v>705</v>
      </c>
      <c r="G28" s="18" t="s">
        <v>708</v>
      </c>
    </row>
    <row r="29" customFormat="false" ht="36" hidden="false" customHeight="true" outlineLevel="0" collapsed="false">
      <c r="A29" s="18" t="s">
        <v>199</v>
      </c>
      <c r="B29" s="18" t="s">
        <v>688</v>
      </c>
      <c r="C29" s="18" t="n">
        <v>6</v>
      </c>
      <c r="D29" s="18" t="s">
        <v>1897</v>
      </c>
      <c r="E29" s="18" t="s">
        <v>1898</v>
      </c>
      <c r="F29" s="18" t="s">
        <v>695</v>
      </c>
      <c r="G29" s="18" t="s">
        <v>1498</v>
      </c>
    </row>
    <row r="30" customFormat="false" ht="36" hidden="false" customHeight="true" outlineLevel="0" collapsed="false">
      <c r="A30" s="18" t="s">
        <v>199</v>
      </c>
      <c r="B30" s="18" t="s">
        <v>715</v>
      </c>
      <c r="C30" s="18" t="n">
        <v>1</v>
      </c>
      <c r="D30" s="18" t="s">
        <v>1899</v>
      </c>
      <c r="E30" s="18" t="s">
        <v>1900</v>
      </c>
      <c r="F30" s="18" t="s">
        <v>714</v>
      </c>
      <c r="G30" s="18"/>
    </row>
    <row r="31" customFormat="false" ht="36" hidden="false" customHeight="true" outlineLevel="0" collapsed="false">
      <c r="A31" s="18" t="s">
        <v>199</v>
      </c>
      <c r="B31" s="18" t="s">
        <v>715</v>
      </c>
      <c r="C31" s="18" t="n">
        <v>2</v>
      </c>
      <c r="D31" s="18" t="s">
        <v>1901</v>
      </c>
      <c r="E31" s="18" t="s">
        <v>1902</v>
      </c>
      <c r="F31" s="18" t="s">
        <v>722</v>
      </c>
      <c r="G31" s="18" t="s">
        <v>725</v>
      </c>
    </row>
    <row r="32" customFormat="false" ht="36" hidden="false" customHeight="true" outlineLevel="0" collapsed="false">
      <c r="A32" s="18" t="s">
        <v>199</v>
      </c>
      <c r="B32" s="18" t="s">
        <v>715</v>
      </c>
      <c r="C32" s="18" t="n">
        <v>3</v>
      </c>
      <c r="D32" s="18" t="s">
        <v>1903</v>
      </c>
      <c r="E32" s="18" t="s">
        <v>1904</v>
      </c>
      <c r="F32" s="18" t="s">
        <v>722</v>
      </c>
      <c r="G32" s="18"/>
    </row>
    <row r="33" customFormat="false" ht="36" hidden="false" customHeight="true" outlineLevel="0" collapsed="false">
      <c r="A33" s="18" t="s">
        <v>199</v>
      </c>
      <c r="B33" s="18" t="s">
        <v>715</v>
      </c>
      <c r="C33" s="18" t="n">
        <v>4</v>
      </c>
      <c r="D33" s="18" t="s">
        <v>1905</v>
      </c>
      <c r="E33" s="18" t="s">
        <v>1906</v>
      </c>
      <c r="F33" s="18" t="s">
        <v>714</v>
      </c>
      <c r="G33" s="18"/>
    </row>
    <row r="34" customFormat="false" ht="36" hidden="false" customHeight="true" outlineLevel="0" collapsed="false">
      <c r="A34" s="18" t="s">
        <v>199</v>
      </c>
      <c r="B34" s="18" t="s">
        <v>715</v>
      </c>
      <c r="C34" s="18" t="n">
        <v>5</v>
      </c>
      <c r="D34" s="18" t="s">
        <v>1907</v>
      </c>
      <c r="E34" s="18" t="s">
        <v>1908</v>
      </c>
      <c r="F34" s="18" t="s">
        <v>714</v>
      </c>
      <c r="G34" s="18" t="s">
        <v>673</v>
      </c>
    </row>
    <row r="35" customFormat="false" ht="36" hidden="false" customHeight="true" outlineLevel="0" collapsed="false">
      <c r="A35" s="18" t="s">
        <v>199</v>
      </c>
      <c r="B35" s="18" t="s">
        <v>715</v>
      </c>
      <c r="C35" s="18" t="n">
        <v>6</v>
      </c>
      <c r="D35" s="18" t="s">
        <v>1909</v>
      </c>
      <c r="E35" s="18" t="s">
        <v>1910</v>
      </c>
      <c r="F35" s="18" t="s">
        <v>737</v>
      </c>
      <c r="G35" s="18"/>
    </row>
    <row r="36" customFormat="false" ht="36" hidden="false" customHeight="true" outlineLevel="0" collapsed="false">
      <c r="A36" s="18" t="s">
        <v>199</v>
      </c>
      <c r="B36" s="18" t="s">
        <v>715</v>
      </c>
      <c r="C36" s="18" t="n">
        <v>7</v>
      </c>
      <c r="D36" s="18" t="s">
        <v>1911</v>
      </c>
      <c r="E36" s="18"/>
      <c r="F36" s="18" t="s">
        <v>730</v>
      </c>
      <c r="G36" s="18"/>
    </row>
    <row r="37" customFormat="false" ht="36" hidden="false" customHeight="true" outlineLevel="0" collapsed="false">
      <c r="A37" s="18" t="s">
        <v>239</v>
      </c>
      <c r="B37" s="18" t="s">
        <v>746</v>
      </c>
      <c r="C37" s="18" t="n">
        <v>1</v>
      </c>
      <c r="D37" s="18" t="s">
        <v>1912</v>
      </c>
      <c r="E37" s="18" t="s">
        <v>1913</v>
      </c>
      <c r="F37" s="18" t="s">
        <v>745</v>
      </c>
      <c r="G37" s="18"/>
    </row>
    <row r="38" customFormat="false" ht="36" hidden="false" customHeight="true" outlineLevel="0" collapsed="false">
      <c r="A38" s="18" t="s">
        <v>239</v>
      </c>
      <c r="B38" s="18" t="s">
        <v>746</v>
      </c>
      <c r="C38" s="18" t="n">
        <v>2</v>
      </c>
      <c r="D38" s="18" t="s">
        <v>1914</v>
      </c>
      <c r="E38" s="18" t="s">
        <v>1915</v>
      </c>
      <c r="F38" s="18" t="s">
        <v>754</v>
      </c>
      <c r="G38" s="18" t="s">
        <v>1916</v>
      </c>
    </row>
    <row r="39" customFormat="false" ht="36" hidden="false" customHeight="true" outlineLevel="0" collapsed="false">
      <c r="A39" s="18" t="s">
        <v>239</v>
      </c>
      <c r="B39" s="18" t="s">
        <v>746</v>
      </c>
      <c r="C39" s="18" t="n">
        <v>3</v>
      </c>
      <c r="D39" s="18" t="s">
        <v>1917</v>
      </c>
      <c r="E39" s="18"/>
      <c r="F39" s="18" t="s">
        <v>763</v>
      </c>
      <c r="G39" s="18"/>
    </row>
    <row r="40" customFormat="false" ht="36" hidden="false" customHeight="true" outlineLevel="0" collapsed="false">
      <c r="A40" s="18" t="s">
        <v>239</v>
      </c>
      <c r="B40" s="18" t="s">
        <v>746</v>
      </c>
      <c r="C40" s="18" t="n">
        <v>4</v>
      </c>
      <c r="D40" s="18" t="s">
        <v>1918</v>
      </c>
      <c r="E40" s="18"/>
      <c r="F40" s="18" t="s">
        <v>754</v>
      </c>
      <c r="G40" s="18"/>
    </row>
    <row r="41" customFormat="false" ht="36" hidden="false" customHeight="true" outlineLevel="0" collapsed="false">
      <c r="A41" s="18" t="s">
        <v>239</v>
      </c>
      <c r="B41" s="18" t="s">
        <v>746</v>
      </c>
      <c r="C41" s="18" t="n">
        <v>5</v>
      </c>
      <c r="D41" s="18" t="s">
        <v>1919</v>
      </c>
      <c r="E41" s="18"/>
      <c r="F41" s="18" t="s">
        <v>763</v>
      </c>
      <c r="G41" s="18"/>
    </row>
    <row r="42" customFormat="false" ht="36" hidden="false" customHeight="true" outlineLevel="0" collapsed="false">
      <c r="A42" s="18" t="s">
        <v>239</v>
      </c>
      <c r="B42" s="18" t="s">
        <v>746</v>
      </c>
      <c r="C42" s="18" t="n">
        <v>6</v>
      </c>
      <c r="D42" s="18" t="s">
        <v>1920</v>
      </c>
      <c r="E42" s="18" t="s">
        <v>1921</v>
      </c>
      <c r="F42" s="18" t="s">
        <v>754</v>
      </c>
      <c r="G42" s="18"/>
    </row>
    <row r="43" customFormat="false" ht="36" hidden="false" customHeight="true" outlineLevel="0" collapsed="false">
      <c r="A43" s="18" t="s">
        <v>239</v>
      </c>
      <c r="B43" s="18" t="s">
        <v>746</v>
      </c>
      <c r="C43" s="18" t="n">
        <v>7</v>
      </c>
      <c r="D43" s="18" t="s">
        <v>1922</v>
      </c>
      <c r="E43" s="18" t="s">
        <v>1923</v>
      </c>
      <c r="F43" s="18" t="s">
        <v>763</v>
      </c>
      <c r="G43" s="18" t="s">
        <v>1924</v>
      </c>
    </row>
    <row r="44" customFormat="false" ht="36" hidden="false" customHeight="true" outlineLevel="0" collapsed="false">
      <c r="A44" s="18" t="s">
        <v>239</v>
      </c>
      <c r="B44" s="18" t="s">
        <v>746</v>
      </c>
      <c r="C44" s="18" t="n">
        <v>8</v>
      </c>
      <c r="D44" s="18" t="s">
        <v>1925</v>
      </c>
      <c r="E44" s="18" t="s">
        <v>1926</v>
      </c>
      <c r="F44" s="18" t="s">
        <v>745</v>
      </c>
      <c r="G44" s="18" t="s">
        <v>1927</v>
      </c>
    </row>
    <row r="45" customFormat="false" ht="36" hidden="false" customHeight="true" outlineLevel="0" collapsed="false">
      <c r="A45" s="18" t="s">
        <v>239</v>
      </c>
      <c r="B45" s="18" t="s">
        <v>774</v>
      </c>
      <c r="C45" s="18" t="n">
        <v>1</v>
      </c>
      <c r="D45" s="18" t="s">
        <v>1928</v>
      </c>
      <c r="E45" s="18"/>
      <c r="F45" s="18" t="s">
        <v>773</v>
      </c>
      <c r="G45" s="18"/>
    </row>
    <row r="46" customFormat="false" ht="36" hidden="false" customHeight="true" outlineLevel="0" collapsed="false">
      <c r="A46" s="18" t="s">
        <v>239</v>
      </c>
      <c r="B46" s="18" t="s">
        <v>774</v>
      </c>
      <c r="C46" s="18" t="n">
        <v>2</v>
      </c>
      <c r="D46" s="18" t="s">
        <v>1929</v>
      </c>
      <c r="E46" s="18"/>
      <c r="F46" s="18" t="s">
        <v>785</v>
      </c>
      <c r="G46" s="18"/>
    </row>
    <row r="47" customFormat="false" ht="36" hidden="false" customHeight="true" outlineLevel="0" collapsed="false">
      <c r="A47" s="18" t="s">
        <v>239</v>
      </c>
      <c r="B47" s="18" t="s">
        <v>774</v>
      </c>
      <c r="C47" s="18" t="n">
        <v>3</v>
      </c>
      <c r="D47" s="18" t="s">
        <v>1930</v>
      </c>
      <c r="E47" s="18" t="s">
        <v>1931</v>
      </c>
      <c r="F47" s="18" t="s">
        <v>773</v>
      </c>
      <c r="G47" s="18" t="s">
        <v>1932</v>
      </c>
    </row>
    <row r="48" customFormat="false" ht="36" hidden="false" customHeight="true" outlineLevel="0" collapsed="false">
      <c r="A48" s="18" t="s">
        <v>239</v>
      </c>
      <c r="B48" s="18" t="s">
        <v>774</v>
      </c>
      <c r="C48" s="18" t="n">
        <v>4</v>
      </c>
      <c r="D48" s="18" t="s">
        <v>1933</v>
      </c>
      <c r="E48" s="18" t="s">
        <v>1934</v>
      </c>
      <c r="F48" s="18" t="s">
        <v>773</v>
      </c>
      <c r="G48" s="18" t="s">
        <v>1875</v>
      </c>
    </row>
    <row r="49" customFormat="false" ht="36" hidden="false" customHeight="true" outlineLevel="0" collapsed="false">
      <c r="A49" s="18" t="s">
        <v>239</v>
      </c>
      <c r="B49" s="18" t="s">
        <v>774</v>
      </c>
      <c r="C49" s="18" t="n">
        <v>5</v>
      </c>
      <c r="D49" s="18" t="s">
        <v>1935</v>
      </c>
      <c r="E49" s="18" t="s">
        <v>1936</v>
      </c>
      <c r="F49" s="18" t="s">
        <v>795</v>
      </c>
      <c r="G49" s="18" t="s">
        <v>1937</v>
      </c>
    </row>
    <row r="50" customFormat="false" ht="36" hidden="false" customHeight="true" outlineLevel="0" collapsed="false">
      <c r="A50" s="18" t="s">
        <v>239</v>
      </c>
      <c r="B50" s="18" t="s">
        <v>774</v>
      </c>
      <c r="C50" s="18" t="n">
        <v>6</v>
      </c>
      <c r="D50" s="18" t="s">
        <v>1938</v>
      </c>
      <c r="E50" s="18" t="s">
        <v>1939</v>
      </c>
      <c r="F50" s="18" t="s">
        <v>795</v>
      </c>
      <c r="G50" s="18" t="s">
        <v>1867</v>
      </c>
    </row>
    <row r="51" customFormat="false" ht="36" hidden="false" customHeight="true" outlineLevel="0" collapsed="false">
      <c r="A51" s="18" t="s">
        <v>239</v>
      </c>
      <c r="B51" s="18" t="s">
        <v>774</v>
      </c>
      <c r="C51" s="18" t="n">
        <v>7</v>
      </c>
      <c r="D51" s="18" t="s">
        <v>1940</v>
      </c>
      <c r="E51" s="18"/>
      <c r="F51" s="18" t="s">
        <v>785</v>
      </c>
      <c r="G51" s="18"/>
    </row>
    <row r="52" customFormat="false" ht="36" hidden="false" customHeight="true" outlineLevel="0" collapsed="false">
      <c r="A52" s="18" t="s">
        <v>239</v>
      </c>
      <c r="B52" s="18" t="s">
        <v>774</v>
      </c>
      <c r="C52" s="18" t="n">
        <v>8</v>
      </c>
      <c r="D52" s="18" t="s">
        <v>1941</v>
      </c>
      <c r="E52" s="18"/>
      <c r="F52" s="18" t="s">
        <v>785</v>
      </c>
      <c r="G52" s="18"/>
    </row>
    <row r="53" customFormat="false" ht="36" hidden="false" customHeight="true" outlineLevel="0" collapsed="false">
      <c r="A53" s="18" t="s">
        <v>239</v>
      </c>
      <c r="B53" s="18" t="s">
        <v>774</v>
      </c>
      <c r="C53" s="18" t="n">
        <v>9</v>
      </c>
      <c r="D53" s="18" t="s">
        <v>1942</v>
      </c>
      <c r="E53" s="18"/>
      <c r="F53" s="18" t="s">
        <v>795</v>
      </c>
      <c r="G53" s="18"/>
    </row>
    <row r="54" customFormat="false" ht="36" hidden="false" customHeight="true" outlineLevel="0" collapsed="false">
      <c r="A54" s="18" t="s">
        <v>239</v>
      </c>
      <c r="B54" s="18" t="s">
        <v>774</v>
      </c>
      <c r="C54" s="18" t="n">
        <v>10</v>
      </c>
      <c r="D54" s="18" t="s">
        <v>1943</v>
      </c>
      <c r="E54" s="18"/>
      <c r="F54" s="18" t="s">
        <v>773</v>
      </c>
      <c r="G54" s="18"/>
    </row>
    <row r="55" customFormat="false" ht="36" hidden="false" customHeight="true" outlineLevel="0" collapsed="false">
      <c r="A55" s="18" t="s">
        <v>274</v>
      </c>
      <c r="B55" s="18" t="s">
        <v>808</v>
      </c>
      <c r="C55" s="18" t="n">
        <v>1</v>
      </c>
      <c r="D55" s="18" t="s">
        <v>1944</v>
      </c>
      <c r="E55" s="18"/>
      <c r="F55" s="18" t="s">
        <v>807</v>
      </c>
      <c r="G55" s="18"/>
    </row>
    <row r="56" customFormat="false" ht="36" hidden="false" customHeight="true" outlineLevel="0" collapsed="false">
      <c r="A56" s="18" t="s">
        <v>274</v>
      </c>
      <c r="B56" s="18" t="s">
        <v>808</v>
      </c>
      <c r="C56" s="18" t="n">
        <v>2</v>
      </c>
      <c r="D56" s="18" t="s">
        <v>1945</v>
      </c>
      <c r="E56" s="18"/>
      <c r="F56" s="18" t="s">
        <v>816</v>
      </c>
      <c r="G56" s="18"/>
    </row>
    <row r="57" customFormat="false" ht="36" hidden="false" customHeight="true" outlineLevel="0" collapsed="false">
      <c r="A57" s="18" t="s">
        <v>274</v>
      </c>
      <c r="B57" s="18" t="s">
        <v>808</v>
      </c>
      <c r="C57" s="18" t="n">
        <v>3</v>
      </c>
      <c r="D57" s="18" t="s">
        <v>1946</v>
      </c>
      <c r="E57" s="18"/>
      <c r="F57" s="18" t="s">
        <v>807</v>
      </c>
      <c r="G57" s="18"/>
    </row>
    <row r="58" customFormat="false" ht="36" hidden="false" customHeight="true" outlineLevel="0" collapsed="false">
      <c r="A58" s="18" t="s">
        <v>274</v>
      </c>
      <c r="B58" s="18" t="s">
        <v>808</v>
      </c>
      <c r="C58" s="18" t="n">
        <v>4</v>
      </c>
      <c r="D58" s="18" t="s">
        <v>1947</v>
      </c>
      <c r="E58" s="18"/>
      <c r="F58" s="18" t="s">
        <v>826</v>
      </c>
      <c r="G58" s="18"/>
    </row>
    <row r="59" customFormat="false" ht="36" hidden="false" customHeight="true" outlineLevel="0" collapsed="false">
      <c r="A59" s="18" t="s">
        <v>274</v>
      </c>
      <c r="B59" s="18" t="s">
        <v>808</v>
      </c>
      <c r="C59" s="18" t="n">
        <v>5</v>
      </c>
      <c r="D59" s="18" t="s">
        <v>1948</v>
      </c>
      <c r="E59" s="18"/>
      <c r="F59" s="18" t="s">
        <v>826</v>
      </c>
      <c r="G59" s="18"/>
    </row>
    <row r="60" customFormat="false" ht="36" hidden="false" customHeight="true" outlineLevel="0" collapsed="false">
      <c r="A60" s="18" t="s">
        <v>274</v>
      </c>
      <c r="B60" s="18" t="s">
        <v>808</v>
      </c>
      <c r="C60" s="18" t="n">
        <v>6</v>
      </c>
      <c r="D60" s="18" t="s">
        <v>1949</v>
      </c>
      <c r="E60" s="18" t="s">
        <v>1950</v>
      </c>
      <c r="F60" s="18" t="s">
        <v>816</v>
      </c>
      <c r="G60" s="18" t="s">
        <v>1951</v>
      </c>
    </row>
    <row r="61" customFormat="false" ht="36" hidden="false" customHeight="true" outlineLevel="0" collapsed="false">
      <c r="A61" s="18" t="s">
        <v>274</v>
      </c>
      <c r="B61" s="18" t="s">
        <v>808</v>
      </c>
      <c r="C61" s="18" t="n">
        <v>7</v>
      </c>
      <c r="D61" s="18" t="s">
        <v>1952</v>
      </c>
      <c r="E61" s="18"/>
      <c r="F61" s="18" t="s">
        <v>826</v>
      </c>
      <c r="G61" s="18"/>
    </row>
    <row r="62" customFormat="false" ht="36" hidden="false" customHeight="true" outlineLevel="0" collapsed="false">
      <c r="A62" s="18" t="s">
        <v>274</v>
      </c>
      <c r="B62" s="18" t="s">
        <v>808</v>
      </c>
      <c r="C62" s="18" t="n">
        <v>8</v>
      </c>
      <c r="D62" s="18" t="s">
        <v>1953</v>
      </c>
      <c r="E62" s="18" t="s">
        <v>1954</v>
      </c>
      <c r="F62" s="18" t="s">
        <v>816</v>
      </c>
      <c r="G62" s="18" t="s">
        <v>1955</v>
      </c>
    </row>
    <row r="63" customFormat="false" ht="36" hidden="false" customHeight="true" outlineLevel="0" collapsed="false">
      <c r="A63" s="18" t="s">
        <v>274</v>
      </c>
      <c r="B63" s="18" t="s">
        <v>837</v>
      </c>
      <c r="C63" s="18" t="n">
        <v>1</v>
      </c>
      <c r="D63" s="18" t="s">
        <v>1956</v>
      </c>
      <c r="E63" s="18"/>
      <c r="F63" s="18" t="s">
        <v>868</v>
      </c>
      <c r="G63" s="18"/>
    </row>
    <row r="64" customFormat="false" ht="36" hidden="false" customHeight="true" outlineLevel="0" collapsed="false">
      <c r="A64" s="18" t="s">
        <v>274</v>
      </c>
      <c r="B64" s="18" t="s">
        <v>837</v>
      </c>
      <c r="C64" s="18" t="n">
        <v>2</v>
      </c>
      <c r="D64" s="18" t="s">
        <v>1957</v>
      </c>
      <c r="E64" s="18"/>
      <c r="F64" s="18" t="s">
        <v>868</v>
      </c>
      <c r="G64" s="18"/>
    </row>
    <row r="65" customFormat="false" ht="36" hidden="false" customHeight="true" outlineLevel="0" collapsed="false">
      <c r="A65" s="18" t="s">
        <v>274</v>
      </c>
      <c r="B65" s="18" t="s">
        <v>837</v>
      </c>
      <c r="C65" s="18" t="n">
        <v>3</v>
      </c>
      <c r="D65" s="18" t="s">
        <v>1958</v>
      </c>
      <c r="E65" s="18" t="s">
        <v>1959</v>
      </c>
      <c r="F65" s="18" t="s">
        <v>836</v>
      </c>
      <c r="G65" s="18" t="s">
        <v>1960</v>
      </c>
    </row>
    <row r="66" customFormat="false" ht="36" hidden="false" customHeight="true" outlineLevel="0" collapsed="false">
      <c r="A66" s="18" t="s">
        <v>274</v>
      </c>
      <c r="B66" s="18" t="s">
        <v>837</v>
      </c>
      <c r="C66" s="18" t="n">
        <v>4</v>
      </c>
      <c r="D66" s="18" t="s">
        <v>1961</v>
      </c>
      <c r="E66" s="18" t="s">
        <v>1962</v>
      </c>
      <c r="F66" s="18" t="s">
        <v>853</v>
      </c>
      <c r="G66" s="18" t="s">
        <v>1963</v>
      </c>
    </row>
    <row r="67" customFormat="false" ht="36" hidden="false" customHeight="true" outlineLevel="0" collapsed="false">
      <c r="A67" s="18" t="s">
        <v>274</v>
      </c>
      <c r="B67" s="18" t="s">
        <v>837</v>
      </c>
      <c r="C67" s="18" t="n">
        <v>5</v>
      </c>
      <c r="D67" s="18" t="s">
        <v>1964</v>
      </c>
      <c r="E67" s="18"/>
      <c r="F67" s="18" t="s">
        <v>836</v>
      </c>
      <c r="G67" s="18"/>
    </row>
    <row r="68" customFormat="false" ht="36" hidden="false" customHeight="true" outlineLevel="0" collapsed="false">
      <c r="A68" s="18" t="s">
        <v>274</v>
      </c>
      <c r="B68" s="18" t="s">
        <v>837</v>
      </c>
      <c r="C68" s="18" t="n">
        <v>6</v>
      </c>
      <c r="D68" s="18" t="s">
        <v>1965</v>
      </c>
      <c r="E68" s="18" t="s">
        <v>1966</v>
      </c>
      <c r="F68" s="18" t="s">
        <v>868</v>
      </c>
      <c r="G68" s="18" t="s">
        <v>1967</v>
      </c>
    </row>
    <row r="69" customFormat="false" ht="36" hidden="false" customHeight="true" outlineLevel="0" collapsed="false">
      <c r="A69" s="18" t="s">
        <v>274</v>
      </c>
      <c r="B69" s="18" t="s">
        <v>837</v>
      </c>
      <c r="C69" s="18" t="n">
        <v>7</v>
      </c>
      <c r="D69" s="18" t="s">
        <v>1968</v>
      </c>
      <c r="E69" s="18" t="s">
        <v>1969</v>
      </c>
      <c r="F69" s="18" t="s">
        <v>853</v>
      </c>
      <c r="G69" s="18" t="s">
        <v>1970</v>
      </c>
    </row>
    <row r="70" customFormat="false" ht="36" hidden="false" customHeight="true" outlineLevel="0" collapsed="false">
      <c r="A70" s="18" t="s">
        <v>274</v>
      </c>
      <c r="B70" s="18" t="s">
        <v>886</v>
      </c>
      <c r="C70" s="18" t="n">
        <v>1</v>
      </c>
      <c r="D70" s="18" t="s">
        <v>1971</v>
      </c>
      <c r="E70" s="18"/>
      <c r="F70" s="18" t="s">
        <v>885</v>
      </c>
      <c r="G70" s="18"/>
    </row>
    <row r="71" customFormat="false" ht="36" hidden="false" customHeight="true" outlineLevel="0" collapsed="false">
      <c r="A71" s="18" t="s">
        <v>274</v>
      </c>
      <c r="B71" s="18" t="s">
        <v>886</v>
      </c>
      <c r="C71" s="18" t="n">
        <v>2</v>
      </c>
      <c r="D71" s="18" t="s">
        <v>1972</v>
      </c>
      <c r="E71" s="18"/>
      <c r="F71" s="18" t="s">
        <v>885</v>
      </c>
      <c r="G71" s="18"/>
    </row>
    <row r="72" customFormat="false" ht="36" hidden="false" customHeight="true" outlineLevel="0" collapsed="false">
      <c r="A72" s="18" t="s">
        <v>274</v>
      </c>
      <c r="B72" s="18" t="s">
        <v>886</v>
      </c>
      <c r="C72" s="18" t="n">
        <v>3</v>
      </c>
      <c r="D72" s="18" t="s">
        <v>1973</v>
      </c>
      <c r="E72" s="18"/>
      <c r="F72" s="18" t="s">
        <v>914</v>
      </c>
      <c r="G72" s="18"/>
    </row>
    <row r="73" customFormat="false" ht="36" hidden="false" customHeight="true" outlineLevel="0" collapsed="false">
      <c r="A73" s="18" t="s">
        <v>274</v>
      </c>
      <c r="B73" s="18" t="s">
        <v>886</v>
      </c>
      <c r="C73" s="18" t="n">
        <v>4</v>
      </c>
      <c r="D73" s="18" t="s">
        <v>1974</v>
      </c>
      <c r="E73" s="18" t="s">
        <v>1975</v>
      </c>
      <c r="F73" s="18" t="s">
        <v>914</v>
      </c>
      <c r="G73" s="18" t="s">
        <v>1976</v>
      </c>
    </row>
    <row r="74" customFormat="false" ht="36" hidden="false" customHeight="true" outlineLevel="0" collapsed="false">
      <c r="A74" s="18" t="s">
        <v>274</v>
      </c>
      <c r="B74" s="18" t="s">
        <v>886</v>
      </c>
      <c r="C74" s="18" t="n">
        <v>5</v>
      </c>
      <c r="D74" s="18" t="s">
        <v>1977</v>
      </c>
      <c r="E74" s="18"/>
      <c r="F74" s="18" t="s">
        <v>898</v>
      </c>
      <c r="G74" s="18"/>
    </row>
    <row r="75" customFormat="false" ht="36" hidden="false" customHeight="true" outlineLevel="0" collapsed="false">
      <c r="A75" s="18" t="s">
        <v>274</v>
      </c>
      <c r="B75" s="18" t="s">
        <v>886</v>
      </c>
      <c r="C75" s="18" t="n">
        <v>6</v>
      </c>
      <c r="D75" s="18" t="s">
        <v>1978</v>
      </c>
      <c r="E75" s="18"/>
      <c r="F75" s="18" t="s">
        <v>885</v>
      </c>
      <c r="G75" s="18"/>
    </row>
    <row r="76" customFormat="false" ht="36" hidden="false" customHeight="true" outlineLevel="0" collapsed="false">
      <c r="A76" s="18" t="s">
        <v>274</v>
      </c>
      <c r="B76" s="18" t="s">
        <v>927</v>
      </c>
      <c r="C76" s="18" t="n">
        <v>1</v>
      </c>
      <c r="D76" s="18" t="s">
        <v>1979</v>
      </c>
      <c r="E76" s="18" t="s">
        <v>1980</v>
      </c>
      <c r="F76" s="18" t="s">
        <v>926</v>
      </c>
      <c r="G76" s="18" t="s">
        <v>930</v>
      </c>
    </row>
    <row r="77" customFormat="false" ht="36" hidden="false" customHeight="true" outlineLevel="0" collapsed="false">
      <c r="A77" s="18" t="s">
        <v>274</v>
      </c>
      <c r="B77" s="18" t="s">
        <v>927</v>
      </c>
      <c r="C77" s="18" t="n">
        <v>2</v>
      </c>
      <c r="D77" s="18" t="s">
        <v>1981</v>
      </c>
      <c r="E77" s="18"/>
      <c r="F77" s="18" t="s">
        <v>926</v>
      </c>
      <c r="G77" s="18"/>
    </row>
    <row r="78" customFormat="false" ht="36" hidden="false" customHeight="true" outlineLevel="0" collapsed="false">
      <c r="A78" s="18" t="s">
        <v>274</v>
      </c>
      <c r="B78" s="18" t="s">
        <v>927</v>
      </c>
      <c r="C78" s="18" t="n">
        <v>3</v>
      </c>
      <c r="D78" s="18" t="s">
        <v>1982</v>
      </c>
      <c r="E78" s="18" t="s">
        <v>1983</v>
      </c>
      <c r="F78" s="18" t="s">
        <v>935</v>
      </c>
      <c r="G78" s="18" t="s">
        <v>1984</v>
      </c>
    </row>
    <row r="79" customFormat="false" ht="36" hidden="false" customHeight="true" outlineLevel="0" collapsed="false">
      <c r="A79" s="18" t="s">
        <v>274</v>
      </c>
      <c r="B79" s="18" t="s">
        <v>927</v>
      </c>
      <c r="C79" s="18" t="n">
        <v>4</v>
      </c>
      <c r="D79" s="18" t="s">
        <v>1985</v>
      </c>
      <c r="E79" s="18" t="s">
        <v>1986</v>
      </c>
      <c r="F79" s="18" t="s">
        <v>943</v>
      </c>
      <c r="G79" s="18" t="s">
        <v>1987</v>
      </c>
    </row>
    <row r="80" customFormat="false" ht="36" hidden="false" customHeight="true" outlineLevel="0" collapsed="false">
      <c r="A80" s="18" t="s">
        <v>274</v>
      </c>
      <c r="B80" s="18" t="s">
        <v>927</v>
      </c>
      <c r="C80" s="18" t="n">
        <v>5</v>
      </c>
      <c r="D80" s="18" t="s">
        <v>1988</v>
      </c>
      <c r="E80" s="18" t="s">
        <v>1989</v>
      </c>
      <c r="F80" s="18" t="s">
        <v>943</v>
      </c>
      <c r="G80" s="18" t="s">
        <v>1990</v>
      </c>
    </row>
    <row r="81" customFormat="false" ht="36" hidden="false" customHeight="true" outlineLevel="0" collapsed="false">
      <c r="A81" s="18" t="s">
        <v>274</v>
      </c>
      <c r="B81" s="18" t="s">
        <v>927</v>
      </c>
      <c r="C81" s="18" t="n">
        <v>6</v>
      </c>
      <c r="D81" s="18" t="s">
        <v>1991</v>
      </c>
      <c r="E81" s="18" t="s">
        <v>1992</v>
      </c>
      <c r="F81" s="18" t="s">
        <v>935</v>
      </c>
      <c r="G81" s="18" t="s">
        <v>1993</v>
      </c>
    </row>
    <row r="82" customFormat="false" ht="36" hidden="false" customHeight="true" outlineLevel="0" collapsed="false">
      <c r="A82" s="18" t="s">
        <v>274</v>
      </c>
      <c r="B82" s="18" t="s">
        <v>927</v>
      </c>
      <c r="C82" s="18" t="n">
        <v>7</v>
      </c>
      <c r="D82" s="18" t="s">
        <v>1994</v>
      </c>
      <c r="E82" s="18" t="s">
        <v>1995</v>
      </c>
      <c r="F82" s="18" t="s">
        <v>943</v>
      </c>
      <c r="G82" s="18" t="s">
        <v>1996</v>
      </c>
    </row>
    <row r="83" customFormat="false" ht="36" hidden="false" customHeight="true" outlineLevel="0" collapsed="false">
      <c r="A83" s="18" t="s">
        <v>320</v>
      </c>
      <c r="B83" s="18" t="s">
        <v>954</v>
      </c>
      <c r="C83" s="18" t="n">
        <v>1</v>
      </c>
      <c r="D83" s="18" t="s">
        <v>1997</v>
      </c>
      <c r="E83" s="18"/>
      <c r="F83" s="18" t="s">
        <v>953</v>
      </c>
      <c r="G83" s="18"/>
    </row>
    <row r="84" customFormat="false" ht="36" hidden="false" customHeight="true" outlineLevel="0" collapsed="false">
      <c r="A84" s="18" t="s">
        <v>320</v>
      </c>
      <c r="B84" s="18" t="s">
        <v>954</v>
      </c>
      <c r="C84" s="18" t="n">
        <v>2</v>
      </c>
      <c r="D84" s="18" t="s">
        <v>1998</v>
      </c>
      <c r="E84" s="18"/>
      <c r="F84" s="18" t="s">
        <v>969</v>
      </c>
      <c r="G84" s="18"/>
    </row>
    <row r="85" customFormat="false" ht="36" hidden="false" customHeight="true" outlineLevel="0" collapsed="false">
      <c r="A85" s="18" t="s">
        <v>320</v>
      </c>
      <c r="B85" s="18" t="s">
        <v>954</v>
      </c>
      <c r="C85" s="18" t="n">
        <v>3</v>
      </c>
      <c r="D85" s="18" t="s">
        <v>1999</v>
      </c>
      <c r="E85" s="18" t="s">
        <v>2000</v>
      </c>
      <c r="F85" s="18" t="s">
        <v>979</v>
      </c>
      <c r="G85" s="18" t="s">
        <v>2001</v>
      </c>
    </row>
    <row r="86" customFormat="false" ht="36" hidden="false" customHeight="true" outlineLevel="0" collapsed="false">
      <c r="A86" s="18" t="s">
        <v>320</v>
      </c>
      <c r="B86" s="18" t="s">
        <v>954</v>
      </c>
      <c r="C86" s="18" t="n">
        <v>4</v>
      </c>
      <c r="D86" s="18" t="s">
        <v>2002</v>
      </c>
      <c r="E86" s="18" t="s">
        <v>2003</v>
      </c>
      <c r="F86" s="18" t="s">
        <v>979</v>
      </c>
      <c r="G86" s="18" t="s">
        <v>2004</v>
      </c>
    </row>
    <row r="87" customFormat="false" ht="36" hidden="false" customHeight="true" outlineLevel="0" collapsed="false">
      <c r="A87" s="18" t="s">
        <v>320</v>
      </c>
      <c r="B87" s="18" t="s">
        <v>954</v>
      </c>
      <c r="C87" s="18" t="n">
        <v>5</v>
      </c>
      <c r="D87" s="18" t="s">
        <v>2005</v>
      </c>
      <c r="E87" s="18" t="s">
        <v>2006</v>
      </c>
      <c r="F87" s="18" t="s">
        <v>953</v>
      </c>
      <c r="G87" s="18" t="s">
        <v>2007</v>
      </c>
    </row>
    <row r="88" customFormat="false" ht="36" hidden="false" customHeight="true" outlineLevel="0" collapsed="false">
      <c r="A88" s="18" t="s">
        <v>320</v>
      </c>
      <c r="B88" s="18" t="s">
        <v>954</v>
      </c>
      <c r="C88" s="18" t="n">
        <v>6</v>
      </c>
      <c r="D88" s="18" t="s">
        <v>1747</v>
      </c>
      <c r="E88" s="18" t="s">
        <v>2008</v>
      </c>
      <c r="F88" s="18" t="s">
        <v>994</v>
      </c>
      <c r="G88" s="18" t="s">
        <v>2009</v>
      </c>
    </row>
    <row r="89" customFormat="false" ht="36" hidden="false" customHeight="true" outlineLevel="0" collapsed="false">
      <c r="A89" s="18" t="s">
        <v>320</v>
      </c>
      <c r="B89" s="18" t="s">
        <v>954</v>
      </c>
      <c r="C89" s="18" t="n">
        <v>7</v>
      </c>
      <c r="D89" s="18" t="s">
        <v>2010</v>
      </c>
      <c r="E89" s="18"/>
      <c r="F89" s="18" t="s">
        <v>979</v>
      </c>
      <c r="G89" s="18"/>
    </row>
    <row r="90" customFormat="false" ht="36" hidden="false" customHeight="true" outlineLevel="0" collapsed="false">
      <c r="A90" s="18" t="s">
        <v>320</v>
      </c>
      <c r="B90" s="18" t="s">
        <v>1007</v>
      </c>
      <c r="C90" s="18" t="n">
        <v>1</v>
      </c>
      <c r="D90" s="18" t="s">
        <v>2011</v>
      </c>
      <c r="E90" s="18"/>
      <c r="F90" s="18" t="s">
        <v>1006</v>
      </c>
      <c r="G90" s="18"/>
    </row>
    <row r="91" customFormat="false" ht="36" hidden="false" customHeight="true" outlineLevel="0" collapsed="false">
      <c r="A91" s="18" t="s">
        <v>320</v>
      </c>
      <c r="B91" s="18" t="s">
        <v>1007</v>
      </c>
      <c r="C91" s="18" t="n">
        <v>2</v>
      </c>
      <c r="D91" s="18" t="s">
        <v>2012</v>
      </c>
      <c r="E91" s="18"/>
      <c r="F91" s="18" t="s">
        <v>1006</v>
      </c>
      <c r="G91" s="18"/>
    </row>
    <row r="92" customFormat="false" ht="36" hidden="false" customHeight="true" outlineLevel="0" collapsed="false">
      <c r="A92" s="18" t="s">
        <v>320</v>
      </c>
      <c r="B92" s="18" t="s">
        <v>1007</v>
      </c>
      <c r="C92" s="18" t="n">
        <v>3</v>
      </c>
      <c r="D92" s="18" t="s">
        <v>2013</v>
      </c>
      <c r="E92" s="18"/>
      <c r="F92" s="18" t="s">
        <v>1029</v>
      </c>
      <c r="G92" s="18"/>
    </row>
    <row r="93" customFormat="false" ht="36" hidden="false" customHeight="true" outlineLevel="0" collapsed="false">
      <c r="A93" s="18" t="s">
        <v>320</v>
      </c>
      <c r="B93" s="18" t="s">
        <v>1007</v>
      </c>
      <c r="C93" s="18" t="n">
        <v>4</v>
      </c>
      <c r="D93" s="18" t="s">
        <v>2014</v>
      </c>
      <c r="E93" s="18"/>
      <c r="F93" s="18" t="s">
        <v>1029</v>
      </c>
      <c r="G93" s="18"/>
    </row>
    <row r="94" customFormat="false" ht="36" hidden="false" customHeight="true" outlineLevel="0" collapsed="false">
      <c r="A94" s="18" t="s">
        <v>320</v>
      </c>
      <c r="B94" s="18" t="s">
        <v>1007</v>
      </c>
      <c r="C94" s="18" t="n">
        <v>5</v>
      </c>
      <c r="D94" s="18" t="s">
        <v>2015</v>
      </c>
      <c r="E94" s="18" t="s">
        <v>2016</v>
      </c>
      <c r="F94" s="18" t="s">
        <v>1019</v>
      </c>
      <c r="G94" s="18" t="s">
        <v>2017</v>
      </c>
    </row>
    <row r="95" customFormat="false" ht="36" hidden="false" customHeight="true" outlineLevel="0" collapsed="false">
      <c r="A95" s="18" t="s">
        <v>320</v>
      </c>
      <c r="B95" s="18" t="s">
        <v>1007</v>
      </c>
      <c r="C95" s="18" t="n">
        <v>6</v>
      </c>
      <c r="D95" s="18" t="s">
        <v>2018</v>
      </c>
      <c r="E95" s="18" t="s">
        <v>2019</v>
      </c>
      <c r="F95" s="18" t="s">
        <v>1019</v>
      </c>
      <c r="G95" s="18" t="s">
        <v>2020</v>
      </c>
    </row>
    <row r="96" customFormat="false" ht="36" hidden="false" customHeight="true" outlineLevel="0" collapsed="false">
      <c r="A96" s="18" t="s">
        <v>320</v>
      </c>
      <c r="B96" s="18" t="s">
        <v>1007</v>
      </c>
      <c r="C96" s="18" t="n">
        <v>7</v>
      </c>
      <c r="D96" s="18" t="s">
        <v>2021</v>
      </c>
      <c r="E96" s="18" t="s">
        <v>2022</v>
      </c>
      <c r="F96" s="18" t="s">
        <v>1006</v>
      </c>
      <c r="G96" s="18" t="s">
        <v>2023</v>
      </c>
    </row>
    <row r="97" customFormat="false" ht="36" hidden="false" customHeight="true" outlineLevel="0" collapsed="false">
      <c r="A97" s="18" t="s">
        <v>320</v>
      </c>
      <c r="B97" s="18" t="s">
        <v>1007</v>
      </c>
      <c r="C97" s="18" t="n">
        <v>8</v>
      </c>
      <c r="D97" s="18" t="s">
        <v>2024</v>
      </c>
      <c r="E97" s="18"/>
      <c r="F97" s="18" t="s">
        <v>1019</v>
      </c>
      <c r="G97" s="18"/>
    </row>
    <row r="98" customFormat="false" ht="36" hidden="false" customHeight="true" outlineLevel="0" collapsed="false">
      <c r="A98" s="18" t="s">
        <v>320</v>
      </c>
      <c r="B98" s="18" t="s">
        <v>1038</v>
      </c>
      <c r="C98" s="18" t="n">
        <v>1</v>
      </c>
      <c r="D98" s="18" t="s">
        <v>2025</v>
      </c>
      <c r="E98" s="18"/>
      <c r="F98" s="18" t="s">
        <v>1037</v>
      </c>
      <c r="G98" s="18"/>
    </row>
    <row r="99" customFormat="false" ht="36" hidden="false" customHeight="true" outlineLevel="0" collapsed="false">
      <c r="A99" s="18" t="s">
        <v>320</v>
      </c>
      <c r="B99" s="18" t="s">
        <v>1038</v>
      </c>
      <c r="C99" s="18" t="n">
        <v>2</v>
      </c>
      <c r="D99" s="18" t="s">
        <v>2026</v>
      </c>
      <c r="E99" s="18"/>
      <c r="F99" s="18" t="s">
        <v>1037</v>
      </c>
      <c r="G99" s="18"/>
    </row>
    <row r="100" customFormat="false" ht="36" hidden="false" customHeight="true" outlineLevel="0" collapsed="false">
      <c r="A100" s="18" t="s">
        <v>320</v>
      </c>
      <c r="B100" s="18" t="s">
        <v>1038</v>
      </c>
      <c r="C100" s="18" t="n">
        <v>3</v>
      </c>
      <c r="D100" s="18" t="s">
        <v>2027</v>
      </c>
      <c r="E100" s="18"/>
      <c r="F100" s="18" t="s">
        <v>1037</v>
      </c>
      <c r="G100" s="18"/>
    </row>
    <row r="101" customFormat="false" ht="36" hidden="false" customHeight="true" outlineLevel="0" collapsed="false">
      <c r="A101" s="18" t="s">
        <v>320</v>
      </c>
      <c r="B101" s="18" t="s">
        <v>1038</v>
      </c>
      <c r="C101" s="18" t="n">
        <v>4</v>
      </c>
      <c r="D101" s="18" t="s">
        <v>2028</v>
      </c>
      <c r="E101" s="18" t="s">
        <v>2029</v>
      </c>
      <c r="F101" s="18" t="s">
        <v>1049</v>
      </c>
      <c r="G101" s="18" t="s">
        <v>2030</v>
      </c>
    </row>
    <row r="102" customFormat="false" ht="36" hidden="false" customHeight="true" outlineLevel="0" collapsed="false">
      <c r="A102" s="18" t="s">
        <v>320</v>
      </c>
      <c r="B102" s="18" t="s">
        <v>1038</v>
      </c>
      <c r="C102" s="18" t="n">
        <v>5</v>
      </c>
      <c r="D102" s="18" t="s">
        <v>2031</v>
      </c>
      <c r="E102" s="18" t="s">
        <v>2032</v>
      </c>
      <c r="F102" s="18" t="s">
        <v>1061</v>
      </c>
      <c r="G102" s="18" t="s">
        <v>2033</v>
      </c>
    </row>
    <row r="103" customFormat="false" ht="36" hidden="false" customHeight="true" outlineLevel="0" collapsed="false">
      <c r="A103" s="18" t="s">
        <v>320</v>
      </c>
      <c r="B103" s="18" t="s">
        <v>1038</v>
      </c>
      <c r="C103" s="18" t="n">
        <v>6</v>
      </c>
      <c r="D103" s="18" t="s">
        <v>2034</v>
      </c>
      <c r="E103" s="18"/>
      <c r="F103" s="18" t="s">
        <v>1049</v>
      </c>
      <c r="G103" s="18"/>
    </row>
    <row r="104" customFormat="false" ht="36" hidden="false" customHeight="true" outlineLevel="0" collapsed="false">
      <c r="A104" s="18" t="s">
        <v>320</v>
      </c>
      <c r="B104" s="18" t="s">
        <v>1074</v>
      </c>
      <c r="C104" s="18" t="n">
        <v>1</v>
      </c>
      <c r="D104" s="18" t="s">
        <v>2035</v>
      </c>
      <c r="E104" s="18"/>
      <c r="F104" s="18" t="s">
        <v>1073</v>
      </c>
      <c r="G104" s="18"/>
    </row>
    <row r="105" customFormat="false" ht="36" hidden="false" customHeight="true" outlineLevel="0" collapsed="false">
      <c r="A105" s="18" t="s">
        <v>320</v>
      </c>
      <c r="B105" s="18" t="s">
        <v>1074</v>
      </c>
      <c r="C105" s="18" t="n">
        <v>2</v>
      </c>
      <c r="D105" s="18" t="s">
        <v>2036</v>
      </c>
      <c r="E105" s="18"/>
      <c r="F105" s="18" t="s">
        <v>1083</v>
      </c>
      <c r="G105" s="18"/>
    </row>
    <row r="106" customFormat="false" ht="36" hidden="false" customHeight="true" outlineLevel="0" collapsed="false">
      <c r="A106" s="18" t="s">
        <v>320</v>
      </c>
      <c r="B106" s="18" t="s">
        <v>1074</v>
      </c>
      <c r="C106" s="18" t="n">
        <v>3</v>
      </c>
      <c r="D106" s="18" t="s">
        <v>2037</v>
      </c>
      <c r="E106" s="18"/>
      <c r="F106" s="18" t="s">
        <v>1073</v>
      </c>
      <c r="G106" s="18"/>
    </row>
    <row r="107" customFormat="false" ht="36" hidden="false" customHeight="true" outlineLevel="0" collapsed="false">
      <c r="A107" s="18" t="s">
        <v>320</v>
      </c>
      <c r="B107" s="18" t="s">
        <v>1074</v>
      </c>
      <c r="C107" s="18" t="n">
        <v>4</v>
      </c>
      <c r="D107" s="18" t="s">
        <v>2038</v>
      </c>
      <c r="E107" s="18" t="s">
        <v>2039</v>
      </c>
      <c r="F107" s="18" t="s">
        <v>1090</v>
      </c>
      <c r="G107" s="18" t="s">
        <v>2040</v>
      </c>
    </row>
    <row r="108" customFormat="false" ht="36" hidden="false" customHeight="true" outlineLevel="0" collapsed="false">
      <c r="A108" s="18" t="s">
        <v>320</v>
      </c>
      <c r="B108" s="18" t="s">
        <v>1074</v>
      </c>
      <c r="C108" s="18" t="n">
        <v>5</v>
      </c>
      <c r="D108" s="18" t="s">
        <v>2041</v>
      </c>
      <c r="E108" s="18" t="s">
        <v>2042</v>
      </c>
      <c r="F108" s="18" t="s">
        <v>1090</v>
      </c>
      <c r="G108" s="18" t="s">
        <v>2043</v>
      </c>
    </row>
    <row r="109" customFormat="false" ht="36" hidden="false" customHeight="true" outlineLevel="0" collapsed="false">
      <c r="A109" s="18" t="s">
        <v>320</v>
      </c>
      <c r="B109" s="18" t="s">
        <v>1074</v>
      </c>
      <c r="C109" s="18" t="n">
        <v>6</v>
      </c>
      <c r="D109" s="18" t="s">
        <v>2044</v>
      </c>
      <c r="E109" s="18" t="s">
        <v>2045</v>
      </c>
      <c r="F109" s="18" t="s">
        <v>1090</v>
      </c>
      <c r="G109" s="18" t="s">
        <v>2046</v>
      </c>
    </row>
    <row r="110" customFormat="false" ht="36" hidden="false" customHeight="true" outlineLevel="0" collapsed="false">
      <c r="A110" s="18" t="s">
        <v>320</v>
      </c>
      <c r="B110" s="18" t="s">
        <v>1074</v>
      </c>
      <c r="C110" s="18" t="n">
        <v>7</v>
      </c>
      <c r="D110" s="18" t="s">
        <v>2047</v>
      </c>
      <c r="E110" s="18" t="s">
        <v>2048</v>
      </c>
      <c r="F110" s="18" t="s">
        <v>1073</v>
      </c>
      <c r="G110" s="18" t="s">
        <v>2049</v>
      </c>
    </row>
    <row r="111" customFormat="false" ht="36" hidden="false" customHeight="true" outlineLevel="0" collapsed="false">
      <c r="A111" s="18" t="s">
        <v>320</v>
      </c>
      <c r="B111" s="18" t="s">
        <v>1074</v>
      </c>
      <c r="C111" s="18" t="n">
        <v>8</v>
      </c>
      <c r="D111" s="18" t="s">
        <v>2050</v>
      </c>
      <c r="E111" s="18" t="s">
        <v>2051</v>
      </c>
      <c r="F111" s="18" t="s">
        <v>1103</v>
      </c>
      <c r="G111" s="18" t="s">
        <v>1106</v>
      </c>
    </row>
    <row r="112" customFormat="false" ht="36" hidden="false" customHeight="true" outlineLevel="0" collapsed="false">
      <c r="A112" s="18" t="s">
        <v>361</v>
      </c>
      <c r="B112" s="18" t="s">
        <v>1114</v>
      </c>
      <c r="C112" s="18" t="n">
        <v>1</v>
      </c>
      <c r="D112" s="18" t="s">
        <v>2052</v>
      </c>
      <c r="E112" s="18"/>
      <c r="F112" s="18" t="s">
        <v>1113</v>
      </c>
      <c r="G112" s="18"/>
    </row>
    <row r="113" customFormat="false" ht="36" hidden="false" customHeight="true" outlineLevel="0" collapsed="false">
      <c r="A113" s="18" t="s">
        <v>361</v>
      </c>
      <c r="B113" s="18" t="s">
        <v>1114</v>
      </c>
      <c r="C113" s="18" t="n">
        <v>2</v>
      </c>
      <c r="D113" s="18" t="s">
        <v>2053</v>
      </c>
      <c r="E113" s="18"/>
      <c r="F113" s="18" t="s">
        <v>1122</v>
      </c>
      <c r="G113" s="18"/>
    </row>
    <row r="114" customFormat="false" ht="36" hidden="false" customHeight="true" outlineLevel="0" collapsed="false">
      <c r="A114" s="18" t="s">
        <v>361</v>
      </c>
      <c r="B114" s="18" t="s">
        <v>1114</v>
      </c>
      <c r="C114" s="18" t="n">
        <v>3</v>
      </c>
      <c r="D114" s="18" t="s">
        <v>2054</v>
      </c>
      <c r="E114" s="18"/>
      <c r="F114" s="18" t="s">
        <v>1113</v>
      </c>
      <c r="G114" s="18"/>
    </row>
    <row r="115" customFormat="false" ht="36" hidden="false" customHeight="true" outlineLevel="0" collapsed="false">
      <c r="A115" s="18" t="s">
        <v>361</v>
      </c>
      <c r="B115" s="18" t="s">
        <v>1114</v>
      </c>
      <c r="C115" s="18" t="n">
        <v>4</v>
      </c>
      <c r="D115" s="18" t="s">
        <v>2055</v>
      </c>
      <c r="E115" s="18"/>
      <c r="F115" s="18" t="s">
        <v>1135</v>
      </c>
      <c r="G115" s="18"/>
    </row>
    <row r="116" customFormat="false" ht="36" hidden="false" customHeight="true" outlineLevel="0" collapsed="false">
      <c r="A116" s="18" t="s">
        <v>361</v>
      </c>
      <c r="B116" s="18" t="s">
        <v>1114</v>
      </c>
      <c r="C116" s="18" t="n">
        <v>5</v>
      </c>
      <c r="D116" s="18" t="s">
        <v>2056</v>
      </c>
      <c r="E116" s="18" t="s">
        <v>2057</v>
      </c>
      <c r="F116" s="18" t="s">
        <v>1135</v>
      </c>
      <c r="G116" s="18" t="s">
        <v>2058</v>
      </c>
    </row>
    <row r="117" customFormat="false" ht="36" hidden="false" customHeight="true" outlineLevel="0" collapsed="false">
      <c r="A117" s="18" t="s">
        <v>361</v>
      </c>
      <c r="B117" s="18" t="s">
        <v>1146</v>
      </c>
      <c r="C117" s="18" t="n">
        <v>1</v>
      </c>
      <c r="D117" s="18" t="s">
        <v>2059</v>
      </c>
      <c r="E117" s="18"/>
      <c r="F117" s="18" t="s">
        <v>1145</v>
      </c>
      <c r="G117" s="18"/>
    </row>
    <row r="118" customFormat="false" ht="36" hidden="false" customHeight="true" outlineLevel="0" collapsed="false">
      <c r="A118" s="18" t="s">
        <v>361</v>
      </c>
      <c r="B118" s="18" t="s">
        <v>1146</v>
      </c>
      <c r="C118" s="18" t="n">
        <v>2</v>
      </c>
      <c r="D118" s="18" t="s">
        <v>2060</v>
      </c>
      <c r="E118" s="18" t="s">
        <v>2061</v>
      </c>
      <c r="F118" s="18" t="s">
        <v>1145</v>
      </c>
      <c r="G118" s="18" t="s">
        <v>1149</v>
      </c>
    </row>
    <row r="119" customFormat="false" ht="36" hidden="false" customHeight="true" outlineLevel="0" collapsed="false">
      <c r="A119" s="18" t="s">
        <v>361</v>
      </c>
      <c r="B119" s="18" t="s">
        <v>1146</v>
      </c>
      <c r="C119" s="18" t="n">
        <v>3</v>
      </c>
      <c r="D119" s="18" t="s">
        <v>2062</v>
      </c>
      <c r="E119" s="18" t="s">
        <v>2063</v>
      </c>
      <c r="F119" s="18" t="s">
        <v>1166</v>
      </c>
      <c r="G119" s="18" t="s">
        <v>2064</v>
      </c>
    </row>
    <row r="120" customFormat="false" ht="36" hidden="false" customHeight="true" outlineLevel="0" collapsed="false">
      <c r="A120" s="18" t="s">
        <v>361</v>
      </c>
      <c r="B120" s="18" t="s">
        <v>1146</v>
      </c>
      <c r="C120" s="18" t="n">
        <v>4</v>
      </c>
      <c r="D120" s="18" t="s">
        <v>2065</v>
      </c>
      <c r="E120" s="18"/>
      <c r="F120" s="18" t="s">
        <v>1156</v>
      </c>
      <c r="G120" s="18"/>
    </row>
    <row r="121" customFormat="false" ht="36" hidden="false" customHeight="true" outlineLevel="0" collapsed="false">
      <c r="A121" s="18" t="s">
        <v>361</v>
      </c>
      <c r="B121" s="18" t="s">
        <v>1146</v>
      </c>
      <c r="C121" s="18" t="n">
        <v>5</v>
      </c>
      <c r="D121" s="18" t="s">
        <v>2066</v>
      </c>
      <c r="E121" s="18" t="s">
        <v>2067</v>
      </c>
      <c r="F121" s="18" t="s">
        <v>1166</v>
      </c>
      <c r="G121" s="18" t="s">
        <v>2068</v>
      </c>
    </row>
    <row r="122" customFormat="false" ht="36" hidden="false" customHeight="true" outlineLevel="0" collapsed="false">
      <c r="A122" s="18" t="s">
        <v>361</v>
      </c>
      <c r="B122" s="18" t="s">
        <v>1146</v>
      </c>
      <c r="C122" s="18" t="n">
        <v>6</v>
      </c>
      <c r="D122" s="18" t="s">
        <v>2069</v>
      </c>
      <c r="E122" s="18"/>
      <c r="F122" s="18" t="s">
        <v>1156</v>
      </c>
      <c r="G122" s="18"/>
    </row>
    <row r="123" customFormat="false" ht="36" hidden="false" customHeight="true" outlineLevel="0" collapsed="false">
      <c r="A123" s="18" t="s">
        <v>361</v>
      </c>
      <c r="B123" s="18" t="s">
        <v>1146</v>
      </c>
      <c r="C123" s="18" t="n">
        <v>7</v>
      </c>
      <c r="D123" s="18" t="s">
        <v>2070</v>
      </c>
      <c r="E123" s="18"/>
      <c r="F123" s="18" t="s">
        <v>1156</v>
      </c>
      <c r="G123" s="18"/>
    </row>
    <row r="124" customFormat="false" ht="36" hidden="false" customHeight="true" outlineLevel="0" collapsed="false">
      <c r="A124" s="18" t="s">
        <v>361</v>
      </c>
      <c r="B124" s="18" t="s">
        <v>1179</v>
      </c>
      <c r="C124" s="18" t="n">
        <v>1</v>
      </c>
      <c r="D124" s="18" t="s">
        <v>2071</v>
      </c>
      <c r="E124" s="18"/>
      <c r="F124" s="18" t="s">
        <v>1198</v>
      </c>
      <c r="G124" s="18"/>
    </row>
    <row r="125" customFormat="false" ht="36" hidden="false" customHeight="true" outlineLevel="0" collapsed="false">
      <c r="A125" s="18" t="s">
        <v>361</v>
      </c>
      <c r="B125" s="18" t="s">
        <v>1179</v>
      </c>
      <c r="C125" s="18" t="n">
        <v>2</v>
      </c>
      <c r="D125" s="18" t="s">
        <v>2072</v>
      </c>
      <c r="E125" s="18"/>
      <c r="F125" s="18" t="s">
        <v>1188</v>
      </c>
      <c r="G125" s="18"/>
    </row>
    <row r="126" customFormat="false" ht="36" hidden="false" customHeight="true" outlineLevel="0" collapsed="false">
      <c r="A126" s="18" t="s">
        <v>361</v>
      </c>
      <c r="B126" s="18" t="s">
        <v>1179</v>
      </c>
      <c r="C126" s="18" t="n">
        <v>3</v>
      </c>
      <c r="D126" s="18" t="s">
        <v>2073</v>
      </c>
      <c r="E126" s="18"/>
      <c r="F126" s="18" t="s">
        <v>1188</v>
      </c>
      <c r="G126" s="18"/>
    </row>
    <row r="127" customFormat="false" ht="36" hidden="false" customHeight="true" outlineLevel="0" collapsed="false">
      <c r="A127" s="18" t="s">
        <v>361</v>
      </c>
      <c r="B127" s="18" t="s">
        <v>1179</v>
      </c>
      <c r="C127" s="18" t="n">
        <v>4</v>
      </c>
      <c r="D127" s="18" t="s">
        <v>2074</v>
      </c>
      <c r="E127" s="18" t="s">
        <v>2075</v>
      </c>
      <c r="F127" s="18" t="s">
        <v>1178</v>
      </c>
      <c r="G127" s="18" t="s">
        <v>2076</v>
      </c>
    </row>
    <row r="128" customFormat="false" ht="36" hidden="false" customHeight="true" outlineLevel="0" collapsed="false">
      <c r="A128" s="18" t="s">
        <v>361</v>
      </c>
      <c r="B128" s="18" t="s">
        <v>1179</v>
      </c>
      <c r="C128" s="18" t="n">
        <v>5</v>
      </c>
      <c r="D128" s="18" t="s">
        <v>2077</v>
      </c>
      <c r="E128" s="18" t="s">
        <v>2078</v>
      </c>
      <c r="F128" s="18" t="s">
        <v>1188</v>
      </c>
      <c r="G128" s="18" t="s">
        <v>2079</v>
      </c>
    </row>
    <row r="129" customFormat="false" ht="36" hidden="false" customHeight="true" outlineLevel="0" collapsed="false">
      <c r="A129" s="18" t="s">
        <v>361</v>
      </c>
      <c r="B129" s="18" t="s">
        <v>1179</v>
      </c>
      <c r="C129" s="18" t="n">
        <v>6</v>
      </c>
      <c r="D129" s="18" t="s">
        <v>2080</v>
      </c>
      <c r="E129" s="18" t="s">
        <v>2081</v>
      </c>
      <c r="F129" s="18" t="s">
        <v>1198</v>
      </c>
      <c r="G129" s="18" t="s">
        <v>2082</v>
      </c>
    </row>
    <row r="130" customFormat="false" ht="36" hidden="false" customHeight="true" outlineLevel="0" collapsed="false">
      <c r="A130" s="18" t="s">
        <v>361</v>
      </c>
      <c r="B130" s="18" t="s">
        <v>1179</v>
      </c>
      <c r="C130" s="18" t="n">
        <v>7</v>
      </c>
      <c r="D130" s="18" t="s">
        <v>2083</v>
      </c>
      <c r="E130" s="18" t="s">
        <v>2084</v>
      </c>
      <c r="F130" s="18" t="s">
        <v>1198</v>
      </c>
      <c r="G130" s="18" t="s">
        <v>2085</v>
      </c>
    </row>
    <row r="131" customFormat="false" ht="36" hidden="false" customHeight="true" outlineLevel="0" collapsed="false">
      <c r="A131" s="18" t="s">
        <v>361</v>
      </c>
      <c r="B131" s="18" t="s">
        <v>1210</v>
      </c>
      <c r="C131" s="18" t="n">
        <v>1</v>
      </c>
      <c r="D131" s="18" t="s">
        <v>2086</v>
      </c>
      <c r="E131" s="18" t="s">
        <v>2087</v>
      </c>
      <c r="F131" s="18" t="s">
        <v>1209</v>
      </c>
      <c r="G131" s="18" t="s">
        <v>1149</v>
      </c>
    </row>
    <row r="132" customFormat="false" ht="36" hidden="false" customHeight="true" outlineLevel="0" collapsed="false">
      <c r="A132" s="18" t="s">
        <v>361</v>
      </c>
      <c r="B132" s="18" t="s">
        <v>1210</v>
      </c>
      <c r="C132" s="18" t="n">
        <v>2</v>
      </c>
      <c r="D132" s="18" t="s">
        <v>2088</v>
      </c>
      <c r="E132" s="18" t="s">
        <v>2089</v>
      </c>
      <c r="F132" s="18" t="s">
        <v>1228</v>
      </c>
      <c r="G132" s="18" t="s">
        <v>2090</v>
      </c>
    </row>
    <row r="133" customFormat="false" ht="36" hidden="false" customHeight="true" outlineLevel="0" collapsed="false">
      <c r="A133" s="18" t="s">
        <v>361</v>
      </c>
      <c r="B133" s="18" t="s">
        <v>1210</v>
      </c>
      <c r="C133" s="18" t="n">
        <v>3</v>
      </c>
      <c r="D133" s="18" t="s">
        <v>2091</v>
      </c>
      <c r="E133" s="18" t="s">
        <v>2092</v>
      </c>
      <c r="F133" s="18" t="s">
        <v>1209</v>
      </c>
      <c r="G133" s="18" t="s">
        <v>2093</v>
      </c>
    </row>
    <row r="134" customFormat="false" ht="36" hidden="false" customHeight="true" outlineLevel="0" collapsed="false">
      <c r="A134" s="18" t="s">
        <v>361</v>
      </c>
      <c r="B134" s="18" t="s">
        <v>1210</v>
      </c>
      <c r="C134" s="18" t="n">
        <v>4</v>
      </c>
      <c r="D134" s="18" t="s">
        <v>2069</v>
      </c>
      <c r="E134" s="18"/>
      <c r="F134" s="18" t="s">
        <v>1220</v>
      </c>
      <c r="G134" s="18"/>
    </row>
    <row r="135" customFormat="false" ht="36" hidden="false" customHeight="true" outlineLevel="0" collapsed="false">
      <c r="A135" s="18" t="s">
        <v>361</v>
      </c>
      <c r="B135" s="18" t="s">
        <v>1210</v>
      </c>
      <c r="C135" s="18" t="n">
        <v>5</v>
      </c>
      <c r="D135" s="18" t="s">
        <v>2094</v>
      </c>
      <c r="E135" s="18" t="s">
        <v>2095</v>
      </c>
      <c r="F135" s="18" t="s">
        <v>1228</v>
      </c>
      <c r="G135" s="18" t="s">
        <v>2096</v>
      </c>
    </row>
    <row r="136" customFormat="false" ht="36" hidden="false" customHeight="true" outlineLevel="0" collapsed="false">
      <c r="A136" s="18" t="s">
        <v>361</v>
      </c>
      <c r="B136" s="18" t="s">
        <v>1210</v>
      </c>
      <c r="C136" s="18" t="n">
        <v>6</v>
      </c>
      <c r="D136" s="18" t="s">
        <v>2070</v>
      </c>
      <c r="E136" s="18"/>
      <c r="F136" s="18" t="s">
        <v>1220</v>
      </c>
      <c r="G136" s="18"/>
    </row>
    <row r="137" customFormat="false" ht="36" hidden="false" customHeight="true" outlineLevel="0" collapsed="false">
      <c r="A137" s="18" t="s">
        <v>361</v>
      </c>
      <c r="B137" s="18" t="s">
        <v>1240</v>
      </c>
      <c r="C137" s="18" t="n">
        <v>1</v>
      </c>
      <c r="D137" s="18" t="s">
        <v>2097</v>
      </c>
      <c r="E137" s="18" t="s">
        <v>2098</v>
      </c>
      <c r="F137" s="18" t="s">
        <v>1239</v>
      </c>
      <c r="G137" s="18" t="s">
        <v>1243</v>
      </c>
    </row>
    <row r="138" customFormat="false" ht="36" hidden="false" customHeight="true" outlineLevel="0" collapsed="false">
      <c r="A138" s="18" t="s">
        <v>361</v>
      </c>
      <c r="B138" s="18" t="s">
        <v>1240</v>
      </c>
      <c r="C138" s="18" t="n">
        <v>2</v>
      </c>
      <c r="D138" s="18" t="s">
        <v>2099</v>
      </c>
      <c r="E138" s="18" t="s">
        <v>2100</v>
      </c>
      <c r="F138" s="18" t="s">
        <v>1253</v>
      </c>
      <c r="G138" s="18"/>
    </row>
    <row r="139" customFormat="false" ht="36" hidden="false" customHeight="true" outlineLevel="0" collapsed="false">
      <c r="A139" s="18" t="s">
        <v>361</v>
      </c>
      <c r="B139" s="18" t="s">
        <v>1240</v>
      </c>
      <c r="C139" s="18" t="n">
        <v>3</v>
      </c>
      <c r="D139" s="18" t="s">
        <v>2101</v>
      </c>
      <c r="E139" s="18" t="s">
        <v>2102</v>
      </c>
      <c r="F139" s="18" t="s">
        <v>1253</v>
      </c>
      <c r="G139" s="18"/>
    </row>
    <row r="140" customFormat="false" ht="36" hidden="false" customHeight="true" outlineLevel="0" collapsed="false">
      <c r="A140" s="18" t="s">
        <v>361</v>
      </c>
      <c r="B140" s="18" t="s">
        <v>1240</v>
      </c>
      <c r="C140" s="18" t="n">
        <v>4</v>
      </c>
      <c r="D140" s="18" t="s">
        <v>2103</v>
      </c>
      <c r="E140" s="18" t="s">
        <v>2095</v>
      </c>
      <c r="F140" s="18" t="s">
        <v>1263</v>
      </c>
      <c r="G140" s="18"/>
    </row>
    <row r="141" customFormat="false" ht="36" hidden="false" customHeight="true" outlineLevel="0" collapsed="false">
      <c r="A141" s="18" t="s">
        <v>361</v>
      </c>
      <c r="B141" s="18" t="s">
        <v>1240</v>
      </c>
      <c r="C141" s="18" t="n">
        <v>5</v>
      </c>
      <c r="D141" s="18" t="s">
        <v>2070</v>
      </c>
      <c r="E141" s="18"/>
      <c r="F141" s="18" t="s">
        <v>1263</v>
      </c>
      <c r="G141" s="18"/>
    </row>
    <row r="142" customFormat="false" ht="36" hidden="false" customHeight="true" outlineLevel="0" collapsed="false">
      <c r="A142" s="18" t="s">
        <v>361</v>
      </c>
      <c r="B142" s="18" t="s">
        <v>1240</v>
      </c>
      <c r="C142" s="18" t="n">
        <v>6</v>
      </c>
      <c r="D142" s="18" t="s">
        <v>2069</v>
      </c>
      <c r="E142" s="18"/>
      <c r="F142" s="18" t="s">
        <v>1263</v>
      </c>
      <c r="G142" s="18"/>
    </row>
    <row r="143" customFormat="false" ht="36" hidden="false" customHeight="true" outlineLevel="0" collapsed="false">
      <c r="A143" s="18" t="s">
        <v>361</v>
      </c>
      <c r="B143" s="18" t="s">
        <v>1240</v>
      </c>
      <c r="C143" s="18" t="n">
        <v>7</v>
      </c>
      <c r="D143" s="18" t="s">
        <v>2104</v>
      </c>
      <c r="E143" s="18"/>
      <c r="F143" s="18" t="s">
        <v>1239</v>
      </c>
      <c r="G143" s="18"/>
    </row>
    <row r="144" customFormat="false" ht="36" hidden="false" customHeight="true" outlineLevel="0" collapsed="false">
      <c r="A144" s="18" t="s">
        <v>361</v>
      </c>
      <c r="B144" s="18" t="s">
        <v>1273</v>
      </c>
      <c r="C144" s="18" t="n">
        <v>1</v>
      </c>
      <c r="D144" s="18" t="s">
        <v>2105</v>
      </c>
      <c r="E144" s="18"/>
      <c r="F144" s="18" t="s">
        <v>1272</v>
      </c>
      <c r="G144" s="18"/>
    </row>
    <row r="145" customFormat="false" ht="36" hidden="false" customHeight="true" outlineLevel="0" collapsed="false">
      <c r="A145" s="18" t="s">
        <v>361</v>
      </c>
      <c r="B145" s="18" t="s">
        <v>1273</v>
      </c>
      <c r="C145" s="18" t="n">
        <v>2</v>
      </c>
      <c r="D145" s="18" t="s">
        <v>2106</v>
      </c>
      <c r="E145" s="18"/>
      <c r="F145" s="18" t="s">
        <v>1284</v>
      </c>
      <c r="G145" s="18"/>
    </row>
    <row r="146" customFormat="false" ht="36" hidden="false" customHeight="true" outlineLevel="0" collapsed="false">
      <c r="A146" s="18" t="s">
        <v>361</v>
      </c>
      <c r="B146" s="18" t="s">
        <v>1273</v>
      </c>
      <c r="C146" s="18" t="n">
        <v>3</v>
      </c>
      <c r="D146" s="18" t="s">
        <v>2107</v>
      </c>
      <c r="E146" s="18" t="s">
        <v>2108</v>
      </c>
      <c r="F146" s="18" t="s">
        <v>1293</v>
      </c>
      <c r="G146" s="18" t="s">
        <v>1296</v>
      </c>
    </row>
    <row r="147" customFormat="false" ht="36" hidden="false" customHeight="true" outlineLevel="0" collapsed="false">
      <c r="A147" s="18" t="s">
        <v>397</v>
      </c>
      <c r="B147" s="18" t="s">
        <v>1304</v>
      </c>
      <c r="C147" s="18" t="n">
        <v>1</v>
      </c>
      <c r="D147" s="18" t="s">
        <v>2109</v>
      </c>
      <c r="E147" s="18"/>
      <c r="F147" s="18" t="s">
        <v>1303</v>
      </c>
      <c r="G147" s="18"/>
    </row>
    <row r="148" customFormat="false" ht="36" hidden="false" customHeight="true" outlineLevel="0" collapsed="false">
      <c r="A148" s="18" t="s">
        <v>397</v>
      </c>
      <c r="B148" s="18" t="s">
        <v>1304</v>
      </c>
      <c r="C148" s="18" t="n">
        <v>2</v>
      </c>
      <c r="D148" s="18" t="s">
        <v>2110</v>
      </c>
      <c r="E148" s="18"/>
      <c r="F148" s="18" t="s">
        <v>1313</v>
      </c>
      <c r="G148" s="18"/>
    </row>
    <row r="149" customFormat="false" ht="36" hidden="false" customHeight="true" outlineLevel="0" collapsed="false">
      <c r="A149" s="18" t="s">
        <v>397</v>
      </c>
      <c r="B149" s="18" t="s">
        <v>1304</v>
      </c>
      <c r="C149" s="18" t="n">
        <v>3</v>
      </c>
      <c r="D149" s="18" t="s">
        <v>2111</v>
      </c>
      <c r="E149" s="18" t="s">
        <v>2112</v>
      </c>
      <c r="F149" s="18" t="s">
        <v>1321</v>
      </c>
      <c r="G149" s="18" t="s">
        <v>1325</v>
      </c>
    </row>
    <row r="150" customFormat="false" ht="36" hidden="false" customHeight="true" outlineLevel="0" collapsed="false">
      <c r="A150" s="18" t="s">
        <v>397</v>
      </c>
      <c r="B150" s="18" t="s">
        <v>1304</v>
      </c>
      <c r="C150" s="18" t="n">
        <v>4</v>
      </c>
      <c r="D150" s="18" t="s">
        <v>2113</v>
      </c>
      <c r="E150" s="18"/>
      <c r="F150" s="18" t="s">
        <v>1313</v>
      </c>
      <c r="G150" s="18"/>
    </row>
    <row r="151" customFormat="false" ht="36" hidden="false" customHeight="true" outlineLevel="0" collapsed="false">
      <c r="A151" s="18" t="s">
        <v>397</v>
      </c>
      <c r="B151" s="18" t="s">
        <v>1304</v>
      </c>
      <c r="C151" s="18" t="n">
        <v>5</v>
      </c>
      <c r="D151" s="18" t="s">
        <v>2114</v>
      </c>
      <c r="E151" s="18"/>
      <c r="F151" s="18" t="s">
        <v>1321</v>
      </c>
      <c r="G151" s="18"/>
    </row>
    <row r="152" customFormat="false" ht="36" hidden="false" customHeight="true" outlineLevel="0" collapsed="false">
      <c r="A152" s="18" t="s">
        <v>397</v>
      </c>
      <c r="B152" s="18" t="s">
        <v>1304</v>
      </c>
      <c r="C152" s="18" t="n">
        <v>6</v>
      </c>
      <c r="D152" s="18" t="s">
        <v>2115</v>
      </c>
      <c r="E152" s="18"/>
      <c r="F152" s="18" t="s">
        <v>1303</v>
      </c>
      <c r="G152" s="18"/>
    </row>
    <row r="153" customFormat="false" ht="36" hidden="false" customHeight="true" outlineLevel="0" collapsed="false">
      <c r="A153" s="18" t="s">
        <v>397</v>
      </c>
      <c r="B153" s="18" t="s">
        <v>1332</v>
      </c>
      <c r="C153" s="18" t="n">
        <v>1</v>
      </c>
      <c r="D153" s="18" t="s">
        <v>2116</v>
      </c>
      <c r="E153" s="18" t="s">
        <v>2117</v>
      </c>
      <c r="F153" s="18" t="s">
        <v>1331</v>
      </c>
      <c r="G153" s="18" t="s">
        <v>2118</v>
      </c>
    </row>
    <row r="154" customFormat="false" ht="36" hidden="false" customHeight="true" outlineLevel="0" collapsed="false">
      <c r="A154" s="18" t="s">
        <v>397</v>
      </c>
      <c r="B154" s="18" t="s">
        <v>1332</v>
      </c>
      <c r="C154" s="18" t="n">
        <v>2</v>
      </c>
      <c r="D154" s="18" t="s">
        <v>2119</v>
      </c>
      <c r="E154" s="18"/>
      <c r="F154" s="18" t="s">
        <v>1331</v>
      </c>
      <c r="G154" s="18"/>
    </row>
    <row r="155" customFormat="false" ht="36" hidden="false" customHeight="true" outlineLevel="0" collapsed="false">
      <c r="A155" s="18" t="s">
        <v>397</v>
      </c>
      <c r="B155" s="18" t="s">
        <v>1332</v>
      </c>
      <c r="C155" s="18" t="n">
        <v>3</v>
      </c>
      <c r="D155" s="18" t="s">
        <v>2120</v>
      </c>
      <c r="E155" s="18"/>
      <c r="F155" s="18" t="s">
        <v>1340</v>
      </c>
      <c r="G155" s="18"/>
    </row>
    <row r="156" customFormat="false" ht="36" hidden="false" customHeight="true" outlineLevel="0" collapsed="false">
      <c r="A156" s="18" t="s">
        <v>397</v>
      </c>
      <c r="B156" s="18" t="s">
        <v>1332</v>
      </c>
      <c r="C156" s="18" t="n">
        <v>4</v>
      </c>
      <c r="D156" s="18" t="s">
        <v>2121</v>
      </c>
      <c r="E156" s="18"/>
      <c r="F156" s="18" t="s">
        <v>1340</v>
      </c>
      <c r="G156" s="18"/>
    </row>
    <row r="157" customFormat="false" ht="36" hidden="false" customHeight="true" outlineLevel="0" collapsed="false">
      <c r="A157" s="18" t="s">
        <v>397</v>
      </c>
      <c r="B157" s="18" t="s">
        <v>1332</v>
      </c>
      <c r="C157" s="18" t="n">
        <v>5</v>
      </c>
      <c r="D157" s="18" t="s">
        <v>2122</v>
      </c>
      <c r="E157" s="18" t="s">
        <v>2123</v>
      </c>
      <c r="F157" s="18" t="s">
        <v>1355</v>
      </c>
      <c r="G157" s="18" t="s">
        <v>1358</v>
      </c>
    </row>
    <row r="158" customFormat="false" ht="36" hidden="false" customHeight="true" outlineLevel="0" collapsed="false">
      <c r="A158" s="18" t="s">
        <v>397</v>
      </c>
      <c r="B158" s="18" t="s">
        <v>1332</v>
      </c>
      <c r="C158" s="18" t="n">
        <v>6</v>
      </c>
      <c r="D158" s="18" t="s">
        <v>2124</v>
      </c>
      <c r="E158" s="18"/>
      <c r="F158" s="18" t="s">
        <v>1355</v>
      </c>
      <c r="G158" s="18"/>
    </row>
    <row r="159" customFormat="false" ht="36" hidden="false" customHeight="true" outlineLevel="0" collapsed="false">
      <c r="A159" s="18" t="s">
        <v>397</v>
      </c>
      <c r="B159" s="18" t="s">
        <v>1332</v>
      </c>
      <c r="C159" s="18" t="n">
        <v>7</v>
      </c>
      <c r="D159" s="18" t="s">
        <v>2125</v>
      </c>
      <c r="E159" s="18"/>
      <c r="F159" s="18" t="s">
        <v>1355</v>
      </c>
      <c r="G159" s="18"/>
    </row>
    <row r="160" customFormat="false" ht="36" hidden="false" customHeight="true" outlineLevel="0" collapsed="false">
      <c r="A160" s="18" t="s">
        <v>397</v>
      </c>
      <c r="B160" s="18" t="s">
        <v>1366</v>
      </c>
      <c r="C160" s="18" t="n">
        <v>1</v>
      </c>
      <c r="D160" s="18" t="s">
        <v>2126</v>
      </c>
      <c r="E160" s="18"/>
      <c r="F160" s="18" t="s">
        <v>1365</v>
      </c>
      <c r="G160" s="18"/>
    </row>
    <row r="161" customFormat="false" ht="36" hidden="false" customHeight="true" outlineLevel="0" collapsed="false">
      <c r="A161" s="18" t="s">
        <v>397</v>
      </c>
      <c r="B161" s="18" t="s">
        <v>1366</v>
      </c>
      <c r="C161" s="18" t="n">
        <v>2</v>
      </c>
      <c r="D161" s="18" t="s">
        <v>2127</v>
      </c>
      <c r="E161" s="18"/>
      <c r="F161" s="18" t="s">
        <v>1374</v>
      </c>
      <c r="G161" s="18"/>
    </row>
    <row r="162" customFormat="false" ht="36" hidden="false" customHeight="true" outlineLevel="0" collapsed="false">
      <c r="A162" s="18" t="s">
        <v>397</v>
      </c>
      <c r="B162" s="18" t="s">
        <v>1366</v>
      </c>
      <c r="C162" s="18" t="n">
        <v>3</v>
      </c>
      <c r="D162" s="18" t="s">
        <v>2128</v>
      </c>
      <c r="E162" s="18" t="s">
        <v>2129</v>
      </c>
      <c r="F162" s="18" t="s">
        <v>1381</v>
      </c>
      <c r="G162" s="18" t="s">
        <v>1384</v>
      </c>
    </row>
    <row r="163" customFormat="false" ht="36" hidden="false" customHeight="true" outlineLevel="0" collapsed="false">
      <c r="A163" s="18" t="s">
        <v>397</v>
      </c>
      <c r="B163" s="18" t="s">
        <v>1366</v>
      </c>
      <c r="C163" s="18" t="n">
        <v>4</v>
      </c>
      <c r="D163" s="18" t="s">
        <v>2130</v>
      </c>
      <c r="E163" s="18"/>
      <c r="F163" s="18" t="s">
        <v>1381</v>
      </c>
      <c r="G163" s="18"/>
    </row>
    <row r="164" customFormat="false" ht="36" hidden="false" customHeight="true" outlineLevel="0" collapsed="false">
      <c r="A164" s="18" t="s">
        <v>397</v>
      </c>
      <c r="B164" s="18" t="s">
        <v>1366</v>
      </c>
      <c r="C164" s="18" t="n">
        <v>5</v>
      </c>
      <c r="D164" s="18" t="s">
        <v>2131</v>
      </c>
      <c r="E164" s="18" t="s">
        <v>2132</v>
      </c>
      <c r="F164" s="18" t="s">
        <v>1374</v>
      </c>
      <c r="G164" s="18" t="s">
        <v>2133</v>
      </c>
    </row>
    <row r="165" customFormat="false" ht="36" hidden="false" customHeight="true" outlineLevel="0" collapsed="false">
      <c r="A165" s="18" t="s">
        <v>397</v>
      </c>
      <c r="B165" s="18" t="s">
        <v>1366</v>
      </c>
      <c r="C165" s="18" t="n">
        <v>6</v>
      </c>
      <c r="D165" s="18" t="s">
        <v>2134</v>
      </c>
      <c r="E165" s="18" t="s">
        <v>2135</v>
      </c>
      <c r="F165" s="18" t="s">
        <v>1365</v>
      </c>
      <c r="G165" s="18" t="s">
        <v>1358</v>
      </c>
    </row>
    <row r="166" customFormat="false" ht="36" hidden="false" customHeight="true" outlineLevel="0" collapsed="false">
      <c r="A166" s="18" t="s">
        <v>432</v>
      </c>
      <c r="B166" s="18" t="s">
        <v>1391</v>
      </c>
      <c r="C166" s="18" t="n">
        <v>1</v>
      </c>
      <c r="D166" s="18" t="s">
        <v>2136</v>
      </c>
      <c r="E166" s="18" t="s">
        <v>2137</v>
      </c>
      <c r="F166" s="18" t="s">
        <v>1390</v>
      </c>
      <c r="G166" s="18" t="s">
        <v>2138</v>
      </c>
    </row>
    <row r="167" customFormat="false" ht="36" hidden="false" customHeight="true" outlineLevel="0" collapsed="false">
      <c r="A167" s="18" t="s">
        <v>432</v>
      </c>
      <c r="B167" s="18" t="s">
        <v>1391</v>
      </c>
      <c r="C167" s="18" t="n">
        <v>2</v>
      </c>
      <c r="D167" s="18" t="s">
        <v>2139</v>
      </c>
      <c r="E167" s="18" t="s">
        <v>2140</v>
      </c>
      <c r="F167" s="18" t="s">
        <v>1400</v>
      </c>
      <c r="G167" s="18" t="s">
        <v>2141</v>
      </c>
    </row>
    <row r="168" customFormat="false" ht="36" hidden="false" customHeight="true" outlineLevel="0" collapsed="false">
      <c r="A168" s="18" t="s">
        <v>432</v>
      </c>
      <c r="B168" s="18" t="s">
        <v>1391</v>
      </c>
      <c r="C168" s="18" t="n">
        <v>3</v>
      </c>
      <c r="D168" s="18" t="s">
        <v>2142</v>
      </c>
      <c r="E168" s="18" t="s">
        <v>2143</v>
      </c>
      <c r="F168" s="18" t="s">
        <v>1400</v>
      </c>
      <c r="G168" s="18" t="s">
        <v>2144</v>
      </c>
    </row>
    <row r="169" customFormat="false" ht="36" hidden="false" customHeight="true" outlineLevel="0" collapsed="false">
      <c r="A169" s="18" t="s">
        <v>432</v>
      </c>
      <c r="B169" s="18" t="s">
        <v>1391</v>
      </c>
      <c r="C169" s="18" t="n">
        <v>4</v>
      </c>
      <c r="D169" s="18" t="s">
        <v>2145</v>
      </c>
      <c r="E169" s="18" t="s">
        <v>2146</v>
      </c>
      <c r="F169" s="18" t="s">
        <v>1408</v>
      </c>
      <c r="G169" s="18" t="s">
        <v>2147</v>
      </c>
    </row>
    <row r="170" customFormat="false" ht="36" hidden="false" customHeight="true" outlineLevel="0" collapsed="false">
      <c r="A170" s="18" t="s">
        <v>432</v>
      </c>
      <c r="B170" s="18" t="s">
        <v>1391</v>
      </c>
      <c r="C170" s="18" t="n">
        <v>5</v>
      </c>
      <c r="D170" s="18" t="s">
        <v>2148</v>
      </c>
      <c r="E170" s="18" t="s">
        <v>2149</v>
      </c>
      <c r="F170" s="18" t="s">
        <v>1408</v>
      </c>
      <c r="G170" s="18" t="s">
        <v>2150</v>
      </c>
    </row>
    <row r="171" customFormat="false" ht="36" hidden="false" customHeight="true" outlineLevel="0" collapsed="false">
      <c r="A171" s="18" t="s">
        <v>432</v>
      </c>
      <c r="B171" s="18" t="s">
        <v>1391</v>
      </c>
      <c r="C171" s="18" t="n">
        <v>6</v>
      </c>
      <c r="D171" s="18" t="s">
        <v>2151</v>
      </c>
      <c r="E171" s="18" t="s">
        <v>2152</v>
      </c>
      <c r="F171" s="18" t="s">
        <v>1390</v>
      </c>
      <c r="G171" s="18"/>
    </row>
    <row r="172" customFormat="false" ht="36" hidden="false" customHeight="true" outlineLevel="0" collapsed="false">
      <c r="A172" s="18" t="s">
        <v>432</v>
      </c>
      <c r="B172" s="18" t="s">
        <v>1418</v>
      </c>
      <c r="C172" s="18" t="n">
        <v>1</v>
      </c>
      <c r="D172" s="18" t="s">
        <v>2153</v>
      </c>
      <c r="E172" s="18"/>
      <c r="F172" s="18" t="s">
        <v>1417</v>
      </c>
      <c r="G172" s="18"/>
    </row>
    <row r="173" customFormat="false" ht="36" hidden="false" customHeight="true" outlineLevel="0" collapsed="false">
      <c r="A173" s="18" t="s">
        <v>432</v>
      </c>
      <c r="B173" s="18" t="s">
        <v>1418</v>
      </c>
      <c r="C173" s="18" t="n">
        <v>2</v>
      </c>
      <c r="D173" s="18" t="s">
        <v>2154</v>
      </c>
      <c r="E173" s="18"/>
      <c r="F173" s="18" t="s">
        <v>1417</v>
      </c>
      <c r="G173" s="18"/>
    </row>
    <row r="174" customFormat="false" ht="36" hidden="false" customHeight="true" outlineLevel="0" collapsed="false">
      <c r="A174" s="18" t="s">
        <v>432</v>
      </c>
      <c r="B174" s="18" t="s">
        <v>1418</v>
      </c>
      <c r="C174" s="18" t="n">
        <v>3</v>
      </c>
      <c r="D174" s="18" t="s">
        <v>2155</v>
      </c>
      <c r="E174" s="18"/>
      <c r="F174" s="18" t="s">
        <v>1425</v>
      </c>
      <c r="G174" s="18"/>
    </row>
    <row r="175" customFormat="false" ht="36" hidden="false" customHeight="true" outlineLevel="0" collapsed="false">
      <c r="A175" s="18" t="s">
        <v>432</v>
      </c>
      <c r="B175" s="18" t="s">
        <v>1418</v>
      </c>
      <c r="C175" s="18" t="n">
        <v>4</v>
      </c>
      <c r="D175" s="18" t="s">
        <v>2156</v>
      </c>
      <c r="E175" s="18"/>
      <c r="F175" s="18" t="s">
        <v>1425</v>
      </c>
      <c r="G175" s="18"/>
    </row>
    <row r="176" customFormat="false" ht="36" hidden="false" customHeight="true" outlineLevel="0" collapsed="false">
      <c r="A176" s="18" t="s">
        <v>432</v>
      </c>
      <c r="B176" s="18" t="s">
        <v>1418</v>
      </c>
      <c r="C176" s="18" t="n">
        <v>5</v>
      </c>
      <c r="D176" s="18" t="s">
        <v>2157</v>
      </c>
      <c r="E176" s="18"/>
      <c r="F176" s="18" t="s">
        <v>1425</v>
      </c>
      <c r="G176" s="18"/>
    </row>
    <row r="177" customFormat="false" ht="36" hidden="false" customHeight="true" outlineLevel="0" collapsed="false">
      <c r="A177" s="18" t="s">
        <v>432</v>
      </c>
      <c r="B177" s="18" t="s">
        <v>1418</v>
      </c>
      <c r="C177" s="18" t="n">
        <v>6</v>
      </c>
      <c r="D177" s="18" t="s">
        <v>2158</v>
      </c>
      <c r="E177" s="18"/>
      <c r="F177" s="18" t="s">
        <v>1435</v>
      </c>
      <c r="G177" s="18"/>
    </row>
    <row r="178" customFormat="false" ht="36" hidden="false" customHeight="true" outlineLevel="0" collapsed="false">
      <c r="A178" s="18" t="s">
        <v>432</v>
      </c>
      <c r="B178" s="18" t="s">
        <v>1418</v>
      </c>
      <c r="C178" s="18" t="n">
        <v>7</v>
      </c>
      <c r="D178" s="18" t="s">
        <v>2159</v>
      </c>
      <c r="E178" s="18" t="s">
        <v>2160</v>
      </c>
      <c r="F178" s="18" t="s">
        <v>1435</v>
      </c>
      <c r="G178" s="18" t="s">
        <v>1438</v>
      </c>
    </row>
    <row r="179" customFormat="false" ht="36" hidden="false" customHeight="true" outlineLevel="0" collapsed="false">
      <c r="A179" s="18" t="s">
        <v>432</v>
      </c>
      <c r="B179" s="18" t="s">
        <v>1418</v>
      </c>
      <c r="C179" s="18" t="n">
        <v>8</v>
      </c>
      <c r="D179" s="18" t="s">
        <v>2161</v>
      </c>
      <c r="E179" s="18"/>
      <c r="F179" s="18" t="s">
        <v>1435</v>
      </c>
      <c r="G179" s="18"/>
    </row>
    <row r="180" customFormat="false" ht="36" hidden="false" customHeight="true" outlineLevel="0" collapsed="false">
      <c r="A180" s="18" t="s">
        <v>432</v>
      </c>
      <c r="B180" s="18" t="s">
        <v>1447</v>
      </c>
      <c r="C180" s="18" t="n">
        <v>1</v>
      </c>
      <c r="D180" s="18" t="s">
        <v>2162</v>
      </c>
      <c r="E180" s="18"/>
      <c r="F180" s="18" t="s">
        <v>1446</v>
      </c>
      <c r="G180" s="18"/>
    </row>
    <row r="181" customFormat="false" ht="36" hidden="false" customHeight="true" outlineLevel="0" collapsed="false">
      <c r="A181" s="18" t="s">
        <v>432</v>
      </c>
      <c r="B181" s="18" t="s">
        <v>1447</v>
      </c>
      <c r="C181" s="18" t="n">
        <v>2</v>
      </c>
      <c r="D181" s="18" t="s">
        <v>2163</v>
      </c>
      <c r="E181" s="18"/>
      <c r="F181" s="18" t="s">
        <v>1446</v>
      </c>
      <c r="G181" s="18"/>
    </row>
    <row r="182" customFormat="false" ht="36" hidden="false" customHeight="true" outlineLevel="0" collapsed="false">
      <c r="A182" s="18" t="s">
        <v>432</v>
      </c>
      <c r="B182" s="18" t="s">
        <v>1447</v>
      </c>
      <c r="C182" s="18" t="n">
        <v>3</v>
      </c>
      <c r="D182" s="18" t="s">
        <v>2164</v>
      </c>
      <c r="E182" s="18" t="s">
        <v>2165</v>
      </c>
      <c r="F182" s="18" t="s">
        <v>1462</v>
      </c>
      <c r="G182" s="18" t="s">
        <v>2166</v>
      </c>
    </row>
    <row r="183" customFormat="false" ht="36" hidden="false" customHeight="true" outlineLevel="0" collapsed="false">
      <c r="A183" s="18" t="s">
        <v>432</v>
      </c>
      <c r="B183" s="18" t="s">
        <v>1447</v>
      </c>
      <c r="C183" s="18" t="n">
        <v>4</v>
      </c>
      <c r="D183" s="18" t="s">
        <v>2167</v>
      </c>
      <c r="E183" s="18"/>
      <c r="F183" s="18" t="s">
        <v>1462</v>
      </c>
      <c r="G183" s="18"/>
    </row>
    <row r="184" customFormat="false" ht="36" hidden="false" customHeight="true" outlineLevel="0" collapsed="false">
      <c r="A184" s="18" t="s">
        <v>432</v>
      </c>
      <c r="B184" s="18" t="s">
        <v>1447</v>
      </c>
      <c r="C184" s="18" t="n">
        <v>5</v>
      </c>
      <c r="D184" s="18" t="s">
        <v>2168</v>
      </c>
      <c r="E184" s="18"/>
      <c r="F184" s="18" t="s">
        <v>1473</v>
      </c>
      <c r="G184" s="18"/>
    </row>
    <row r="185" customFormat="false" ht="36" hidden="false" customHeight="true" outlineLevel="0" collapsed="false">
      <c r="A185" s="18" t="s">
        <v>432</v>
      </c>
      <c r="B185" s="18" t="s">
        <v>1447</v>
      </c>
      <c r="C185" s="18" t="n">
        <v>6</v>
      </c>
      <c r="D185" s="18" t="s">
        <v>2169</v>
      </c>
      <c r="E185" s="18"/>
      <c r="F185" s="18" t="s">
        <v>1473</v>
      </c>
      <c r="G185" s="18"/>
    </row>
    <row r="186" customFormat="false" ht="36" hidden="false" customHeight="true" outlineLevel="0" collapsed="false">
      <c r="A186" s="18" t="s">
        <v>432</v>
      </c>
      <c r="B186" s="18" t="s">
        <v>1447</v>
      </c>
      <c r="C186" s="18" t="n">
        <v>7</v>
      </c>
      <c r="D186" s="18" t="s">
        <v>2170</v>
      </c>
      <c r="E186" s="18"/>
      <c r="F186" s="18" t="s">
        <v>1473</v>
      </c>
      <c r="G186" s="18"/>
    </row>
    <row r="187" customFormat="false" ht="36" hidden="false" customHeight="true" outlineLevel="0" collapsed="false">
      <c r="A187" s="18" t="s">
        <v>432</v>
      </c>
      <c r="B187" s="18" t="s">
        <v>1447</v>
      </c>
      <c r="C187" s="18" t="n">
        <v>8</v>
      </c>
      <c r="D187" s="18" t="s">
        <v>2171</v>
      </c>
      <c r="E187" s="18"/>
      <c r="F187" s="18" t="s">
        <v>1482</v>
      </c>
      <c r="G187" s="18"/>
    </row>
    <row r="188" customFormat="false" ht="36" hidden="false" customHeight="true" outlineLevel="0" collapsed="false">
      <c r="A188" s="18" t="s">
        <v>432</v>
      </c>
      <c r="B188" s="18" t="s">
        <v>1447</v>
      </c>
      <c r="C188" s="18" t="n">
        <v>9</v>
      </c>
      <c r="D188" s="18" t="s">
        <v>2172</v>
      </c>
      <c r="E188" s="18"/>
      <c r="F188" s="18" t="s">
        <v>1482</v>
      </c>
      <c r="G188" s="18"/>
    </row>
    <row r="189" customFormat="false" ht="36" hidden="false" customHeight="true" outlineLevel="0" collapsed="false">
      <c r="A189" s="18" t="s">
        <v>432</v>
      </c>
      <c r="B189" s="18" t="s">
        <v>1447</v>
      </c>
      <c r="C189" s="18" t="n">
        <v>10</v>
      </c>
      <c r="D189" s="18" t="s">
        <v>2173</v>
      </c>
      <c r="E189" s="18"/>
      <c r="F189" s="18" t="s">
        <v>1482</v>
      </c>
      <c r="G189" s="18"/>
    </row>
    <row r="190" customFormat="false" ht="36" hidden="false" customHeight="true" outlineLevel="0" collapsed="false">
      <c r="A190" s="18" t="s">
        <v>432</v>
      </c>
      <c r="B190" s="18" t="s">
        <v>1447</v>
      </c>
      <c r="C190" s="18" t="n">
        <v>11</v>
      </c>
      <c r="D190" s="18" t="s">
        <v>2174</v>
      </c>
      <c r="E190" s="18"/>
      <c r="F190" s="18" t="s">
        <v>1473</v>
      </c>
      <c r="G190" s="18"/>
    </row>
    <row r="191" customFormat="false" ht="36" hidden="false" customHeight="true" outlineLevel="0" collapsed="false">
      <c r="A191" s="18" t="s">
        <v>461</v>
      </c>
      <c r="B191" s="18" t="s">
        <v>1494</v>
      </c>
      <c r="C191" s="18" t="n">
        <v>1</v>
      </c>
      <c r="D191" s="18" t="s">
        <v>2175</v>
      </c>
      <c r="E191" s="18" t="s">
        <v>2176</v>
      </c>
      <c r="F191" s="18" t="s">
        <v>1493</v>
      </c>
      <c r="G191" s="18" t="s">
        <v>1498</v>
      </c>
    </row>
    <row r="192" customFormat="false" ht="36" hidden="false" customHeight="true" outlineLevel="0" collapsed="false">
      <c r="A192" s="18" t="s">
        <v>461</v>
      </c>
      <c r="B192" s="18" t="s">
        <v>1494</v>
      </c>
      <c r="C192" s="18" t="n">
        <v>2</v>
      </c>
      <c r="D192" s="18" t="s">
        <v>2177</v>
      </c>
      <c r="E192" s="18"/>
      <c r="F192" s="18" t="s">
        <v>1503</v>
      </c>
      <c r="G192" s="18"/>
    </row>
    <row r="193" customFormat="false" ht="36" hidden="false" customHeight="true" outlineLevel="0" collapsed="false">
      <c r="A193" s="18" t="s">
        <v>461</v>
      </c>
      <c r="B193" s="18" t="s">
        <v>1494</v>
      </c>
      <c r="C193" s="18" t="n">
        <v>3</v>
      </c>
      <c r="D193" s="18" t="s">
        <v>2178</v>
      </c>
      <c r="E193" s="18"/>
      <c r="F193" s="18" t="s">
        <v>1513</v>
      </c>
      <c r="G193" s="18"/>
    </row>
    <row r="194" customFormat="false" ht="36" hidden="false" customHeight="true" outlineLevel="0" collapsed="false">
      <c r="A194" s="18" t="s">
        <v>461</v>
      </c>
      <c r="B194" s="18" t="s">
        <v>1494</v>
      </c>
      <c r="C194" s="18" t="n">
        <v>4</v>
      </c>
      <c r="D194" s="18" t="s">
        <v>2179</v>
      </c>
      <c r="E194" s="18"/>
      <c r="F194" s="18" t="s">
        <v>1493</v>
      </c>
      <c r="G194" s="18"/>
    </row>
    <row r="195" customFormat="false" ht="36" hidden="false" customHeight="true" outlineLevel="0" collapsed="false">
      <c r="A195" s="18" t="s">
        <v>461</v>
      </c>
      <c r="B195" s="18" t="s">
        <v>1494</v>
      </c>
      <c r="C195" s="18" t="n">
        <v>5</v>
      </c>
      <c r="D195" s="18" t="s">
        <v>2180</v>
      </c>
      <c r="E195" s="18"/>
      <c r="F195" s="18" t="s">
        <v>1503</v>
      </c>
      <c r="G195" s="18"/>
    </row>
    <row r="196" customFormat="false" ht="36" hidden="false" customHeight="true" outlineLevel="0" collapsed="false">
      <c r="A196" s="18" t="s">
        <v>461</v>
      </c>
      <c r="B196" s="18" t="s">
        <v>1523</v>
      </c>
      <c r="C196" s="18" t="n">
        <v>1</v>
      </c>
      <c r="D196" s="18" t="s">
        <v>2181</v>
      </c>
      <c r="E196" s="18" t="s">
        <v>2182</v>
      </c>
      <c r="F196" s="18" t="s">
        <v>1522</v>
      </c>
      <c r="G196" s="18"/>
    </row>
    <row r="197" customFormat="false" ht="36" hidden="false" customHeight="true" outlineLevel="0" collapsed="false">
      <c r="A197" s="18" t="s">
        <v>461</v>
      </c>
      <c r="B197" s="18" t="s">
        <v>1523</v>
      </c>
      <c r="C197" s="18" t="n">
        <v>2</v>
      </c>
      <c r="D197" s="18" t="s">
        <v>2183</v>
      </c>
      <c r="E197" s="18" t="s">
        <v>2184</v>
      </c>
      <c r="F197" s="18" t="s">
        <v>1530</v>
      </c>
      <c r="G197" s="18"/>
    </row>
    <row r="198" customFormat="false" ht="36" hidden="false" customHeight="true" outlineLevel="0" collapsed="false">
      <c r="A198" s="18" t="s">
        <v>461</v>
      </c>
      <c r="B198" s="18" t="s">
        <v>1523</v>
      </c>
      <c r="C198" s="18" t="n">
        <v>3</v>
      </c>
      <c r="D198" s="18" t="s">
        <v>2185</v>
      </c>
      <c r="E198" s="18" t="s">
        <v>2186</v>
      </c>
      <c r="F198" s="18" t="s">
        <v>1530</v>
      </c>
      <c r="G198" s="18"/>
    </row>
    <row r="199" customFormat="false" ht="36" hidden="false" customHeight="true" outlineLevel="0" collapsed="false">
      <c r="A199" s="18" t="s">
        <v>461</v>
      </c>
      <c r="B199" s="18" t="s">
        <v>1523</v>
      </c>
      <c r="C199" s="18" t="n">
        <v>4</v>
      </c>
      <c r="D199" s="18" t="s">
        <v>2187</v>
      </c>
      <c r="E199" s="18" t="s">
        <v>2188</v>
      </c>
      <c r="F199" s="18" t="s">
        <v>1537</v>
      </c>
      <c r="G199" s="18"/>
    </row>
    <row r="200" customFormat="false" ht="36" hidden="false" customHeight="true" outlineLevel="0" collapsed="false">
      <c r="A200" s="18" t="s">
        <v>461</v>
      </c>
      <c r="B200" s="18" t="s">
        <v>1523</v>
      </c>
      <c r="C200" s="18" t="n">
        <v>5</v>
      </c>
      <c r="D200" s="18" t="s">
        <v>2189</v>
      </c>
      <c r="E200" s="18" t="s">
        <v>2190</v>
      </c>
      <c r="F200" s="18" t="s">
        <v>1537</v>
      </c>
      <c r="G200" s="18"/>
    </row>
    <row r="201" customFormat="false" ht="36" hidden="false" customHeight="true" outlineLevel="0" collapsed="false">
      <c r="A201" s="18" t="s">
        <v>461</v>
      </c>
      <c r="B201" s="18" t="s">
        <v>1523</v>
      </c>
      <c r="C201" s="18" t="n">
        <v>6</v>
      </c>
      <c r="D201" s="18" t="s">
        <v>2191</v>
      </c>
      <c r="E201" s="18" t="s">
        <v>2192</v>
      </c>
      <c r="F201" s="18" t="s">
        <v>1522</v>
      </c>
      <c r="G201" s="18"/>
    </row>
    <row r="202" customFormat="false" ht="36" hidden="false" customHeight="true" outlineLevel="0" collapsed="false">
      <c r="A202" s="18" t="s">
        <v>461</v>
      </c>
      <c r="B202" s="18" t="s">
        <v>1547</v>
      </c>
      <c r="C202" s="18" t="n">
        <v>1</v>
      </c>
      <c r="D202" s="18" t="s">
        <v>2193</v>
      </c>
      <c r="E202" s="18" t="s">
        <v>2194</v>
      </c>
      <c r="F202" s="18" t="s">
        <v>1546</v>
      </c>
      <c r="G202" s="18" t="s">
        <v>2195</v>
      </c>
    </row>
    <row r="203" customFormat="false" ht="36" hidden="false" customHeight="true" outlineLevel="0" collapsed="false">
      <c r="A203" s="18" t="s">
        <v>461</v>
      </c>
      <c r="B203" s="18" t="s">
        <v>1547</v>
      </c>
      <c r="C203" s="18" t="n">
        <v>2</v>
      </c>
      <c r="D203" s="18" t="s">
        <v>2196</v>
      </c>
      <c r="E203" s="18" t="s">
        <v>2197</v>
      </c>
      <c r="F203" s="18" t="s">
        <v>1559</v>
      </c>
      <c r="G203" s="18" t="s">
        <v>2198</v>
      </c>
    </row>
    <row r="204" customFormat="false" ht="36" hidden="false" customHeight="true" outlineLevel="0" collapsed="false">
      <c r="A204" s="18" t="s">
        <v>461</v>
      </c>
      <c r="B204" s="18" t="s">
        <v>1547</v>
      </c>
      <c r="C204" s="18" t="n">
        <v>3</v>
      </c>
      <c r="D204" s="18" t="s">
        <v>2199</v>
      </c>
      <c r="E204" s="18" t="s">
        <v>2200</v>
      </c>
      <c r="F204" s="18" t="s">
        <v>1567</v>
      </c>
      <c r="G204" s="18" t="s">
        <v>1498</v>
      </c>
    </row>
    <row r="205" customFormat="false" ht="36" hidden="false" customHeight="true" outlineLevel="0" collapsed="false">
      <c r="A205" s="18" t="s">
        <v>461</v>
      </c>
      <c r="B205" s="18" t="s">
        <v>1547</v>
      </c>
      <c r="C205" s="18" t="n">
        <v>4</v>
      </c>
      <c r="D205" s="18" t="s">
        <v>2201</v>
      </c>
      <c r="E205" s="18" t="s">
        <v>2202</v>
      </c>
      <c r="F205" s="18" t="s">
        <v>1567</v>
      </c>
      <c r="G205" s="18" t="s">
        <v>2203</v>
      </c>
    </row>
    <row r="206" customFormat="false" ht="36" hidden="false" customHeight="true" outlineLevel="0" collapsed="false">
      <c r="A206" s="18" t="s">
        <v>461</v>
      </c>
      <c r="B206" s="18" t="s">
        <v>1547</v>
      </c>
      <c r="C206" s="18" t="n">
        <v>5</v>
      </c>
      <c r="D206" s="18" t="s">
        <v>2204</v>
      </c>
      <c r="E206" s="18" t="s">
        <v>2205</v>
      </c>
      <c r="F206" s="18" t="s">
        <v>1567</v>
      </c>
      <c r="G206" s="18"/>
    </row>
    <row r="207" customFormat="false" ht="36" hidden="false" customHeight="true" outlineLevel="0" collapsed="false">
      <c r="A207" s="18" t="s">
        <v>461</v>
      </c>
      <c r="B207" s="18" t="s">
        <v>1547</v>
      </c>
      <c r="C207" s="18" t="n">
        <v>6</v>
      </c>
      <c r="D207" s="18" t="s">
        <v>2206</v>
      </c>
      <c r="E207" s="18" t="s">
        <v>2207</v>
      </c>
      <c r="F207" s="18" t="s">
        <v>1546</v>
      </c>
      <c r="G207" s="18" t="s">
        <v>2208</v>
      </c>
    </row>
    <row r="208" customFormat="false" ht="36" hidden="false" customHeight="true" outlineLevel="0" collapsed="false">
      <c r="A208" s="18" t="s">
        <v>461</v>
      </c>
      <c r="B208" s="18" t="s">
        <v>1547</v>
      </c>
      <c r="C208" s="18" t="n">
        <v>7</v>
      </c>
      <c r="D208" s="18" t="s">
        <v>2209</v>
      </c>
      <c r="E208" s="18" t="s">
        <v>2210</v>
      </c>
      <c r="F208" s="18" t="s">
        <v>1546</v>
      </c>
      <c r="G208" s="18" t="s">
        <v>2211</v>
      </c>
    </row>
    <row r="209" customFormat="false" ht="36" hidden="false" customHeight="true" outlineLevel="0" collapsed="false">
      <c r="A209" s="18" t="s">
        <v>461</v>
      </c>
      <c r="B209" s="18" t="s">
        <v>1580</v>
      </c>
      <c r="C209" s="18" t="n">
        <v>1</v>
      </c>
      <c r="D209" s="18" t="s">
        <v>2212</v>
      </c>
      <c r="E209" s="18"/>
      <c r="F209" s="18" t="s">
        <v>1579</v>
      </c>
      <c r="G209" s="18"/>
    </row>
    <row r="210" customFormat="false" ht="36" hidden="false" customHeight="true" outlineLevel="0" collapsed="false">
      <c r="A210" s="18" t="s">
        <v>461</v>
      </c>
      <c r="B210" s="18" t="s">
        <v>1580</v>
      </c>
      <c r="C210" s="18" t="n">
        <v>2</v>
      </c>
      <c r="D210" s="18" t="s">
        <v>2213</v>
      </c>
      <c r="E210" s="18"/>
      <c r="F210" s="18" t="s">
        <v>1579</v>
      </c>
      <c r="G210" s="18"/>
    </row>
    <row r="211" customFormat="false" ht="36" hidden="false" customHeight="true" outlineLevel="0" collapsed="false">
      <c r="A211" s="18" t="s">
        <v>461</v>
      </c>
      <c r="B211" s="18" t="s">
        <v>1580</v>
      </c>
      <c r="C211" s="18" t="n">
        <v>3</v>
      </c>
      <c r="D211" s="18" t="s">
        <v>2214</v>
      </c>
      <c r="E211" s="18" t="s">
        <v>2215</v>
      </c>
      <c r="F211" s="18" t="s">
        <v>1588</v>
      </c>
      <c r="G211" s="18"/>
    </row>
    <row r="212" customFormat="false" ht="36" hidden="false" customHeight="true" outlineLevel="0" collapsed="false">
      <c r="A212" s="18" t="s">
        <v>461</v>
      </c>
      <c r="B212" s="18" t="s">
        <v>1580</v>
      </c>
      <c r="C212" s="18" t="n">
        <v>4</v>
      </c>
      <c r="D212" s="18" t="s">
        <v>2216</v>
      </c>
      <c r="E212" s="18"/>
      <c r="F212" s="18" t="s">
        <v>1588</v>
      </c>
      <c r="G212" s="18"/>
    </row>
    <row r="213" customFormat="false" ht="36" hidden="false" customHeight="true" outlineLevel="0" collapsed="false">
      <c r="A213" s="18" t="s">
        <v>461</v>
      </c>
      <c r="B213" s="18" t="s">
        <v>1580</v>
      </c>
      <c r="C213" s="18" t="n">
        <v>5</v>
      </c>
      <c r="D213" s="18" t="s">
        <v>2217</v>
      </c>
      <c r="E213" s="18"/>
      <c r="F213" s="18" t="s">
        <v>1579</v>
      </c>
      <c r="G213" s="18"/>
    </row>
    <row r="214" customFormat="false" ht="36" hidden="false" customHeight="true" outlineLevel="0" collapsed="false">
      <c r="A214" s="18" t="s">
        <v>461</v>
      </c>
      <c r="B214" s="18" t="s">
        <v>1580</v>
      </c>
      <c r="C214" s="18" t="n">
        <v>6</v>
      </c>
      <c r="D214" s="18" t="s">
        <v>1820</v>
      </c>
      <c r="E214" s="18"/>
      <c r="F214" s="18" t="s">
        <v>1597</v>
      </c>
      <c r="G214" s="18"/>
    </row>
    <row r="215" customFormat="false" ht="36" hidden="false" customHeight="true" outlineLevel="0" collapsed="false">
      <c r="A215" s="18" t="s">
        <v>501</v>
      </c>
      <c r="B215" s="18" t="s">
        <v>1605</v>
      </c>
      <c r="C215" s="18" t="n">
        <v>1</v>
      </c>
      <c r="D215" s="18" t="s">
        <v>2218</v>
      </c>
      <c r="E215" s="18"/>
      <c r="F215" s="18" t="s">
        <v>1604</v>
      </c>
      <c r="G215" s="18"/>
    </row>
    <row r="216" customFormat="false" ht="36" hidden="false" customHeight="true" outlineLevel="0" collapsed="false">
      <c r="A216" s="18" t="s">
        <v>501</v>
      </c>
      <c r="B216" s="18" t="s">
        <v>1605</v>
      </c>
      <c r="C216" s="18" t="n">
        <v>2</v>
      </c>
      <c r="D216" s="18" t="s">
        <v>2219</v>
      </c>
      <c r="E216" s="18"/>
      <c r="F216" s="18" t="s">
        <v>1614</v>
      </c>
      <c r="G216" s="18"/>
    </row>
    <row r="217" customFormat="false" ht="36" hidden="false" customHeight="true" outlineLevel="0" collapsed="false">
      <c r="A217" s="18" t="s">
        <v>501</v>
      </c>
      <c r="B217" s="18" t="s">
        <v>1605</v>
      </c>
      <c r="C217" s="18" t="n">
        <v>3</v>
      </c>
      <c r="D217" s="18" t="s">
        <v>2220</v>
      </c>
      <c r="E217" s="18"/>
      <c r="F217" s="18" t="s">
        <v>1623</v>
      </c>
      <c r="G217" s="18"/>
    </row>
    <row r="218" customFormat="false" ht="36" hidden="false" customHeight="true" outlineLevel="0" collapsed="false">
      <c r="A218" s="18" t="s">
        <v>501</v>
      </c>
      <c r="B218" s="18" t="s">
        <v>1605</v>
      </c>
      <c r="C218" s="18" t="n">
        <v>4</v>
      </c>
      <c r="D218" s="18" t="s">
        <v>2221</v>
      </c>
      <c r="E218" s="18"/>
      <c r="F218" s="18" t="s">
        <v>1623</v>
      </c>
      <c r="G218" s="18"/>
    </row>
    <row r="219" customFormat="false" ht="36" hidden="false" customHeight="true" outlineLevel="0" collapsed="false">
      <c r="A219" s="18" t="s">
        <v>501</v>
      </c>
      <c r="B219" s="18" t="s">
        <v>1605</v>
      </c>
      <c r="C219" s="18" t="n">
        <v>5</v>
      </c>
      <c r="D219" s="18" t="s">
        <v>2222</v>
      </c>
      <c r="E219" s="18"/>
      <c r="F219" s="18" t="s">
        <v>1604</v>
      </c>
      <c r="G219" s="18"/>
    </row>
    <row r="220" customFormat="false" ht="36" hidden="false" customHeight="true" outlineLevel="0" collapsed="false">
      <c r="A220" s="18" t="s">
        <v>501</v>
      </c>
      <c r="B220" s="18" t="s">
        <v>1634</v>
      </c>
      <c r="C220" s="18" t="n">
        <v>1</v>
      </c>
      <c r="D220" s="18" t="s">
        <v>2223</v>
      </c>
      <c r="E220" s="18"/>
      <c r="F220" s="18" t="s">
        <v>1633</v>
      </c>
      <c r="G220" s="18"/>
    </row>
    <row r="221" customFormat="false" ht="36" hidden="false" customHeight="true" outlineLevel="0" collapsed="false">
      <c r="A221" s="18" t="s">
        <v>501</v>
      </c>
      <c r="B221" s="18" t="s">
        <v>1634</v>
      </c>
      <c r="C221" s="18" t="n">
        <v>2</v>
      </c>
      <c r="D221" s="18" t="s">
        <v>2224</v>
      </c>
      <c r="E221" s="18"/>
      <c r="F221" s="18" t="s">
        <v>1633</v>
      </c>
      <c r="G221" s="18"/>
    </row>
    <row r="222" customFormat="false" ht="36" hidden="false" customHeight="true" outlineLevel="0" collapsed="false">
      <c r="A222" s="18" t="s">
        <v>501</v>
      </c>
      <c r="B222" s="18" t="s">
        <v>1634</v>
      </c>
      <c r="C222" s="18" t="n">
        <v>3</v>
      </c>
      <c r="D222" s="18" t="s">
        <v>2225</v>
      </c>
      <c r="E222" s="18"/>
      <c r="F222" s="18" t="s">
        <v>1633</v>
      </c>
      <c r="G222" s="18"/>
    </row>
    <row r="223" customFormat="false" ht="36" hidden="false" customHeight="true" outlineLevel="0" collapsed="false">
      <c r="A223" s="18" t="s">
        <v>501</v>
      </c>
      <c r="B223" s="18" t="s">
        <v>1634</v>
      </c>
      <c r="C223" s="18" t="n">
        <v>4</v>
      </c>
      <c r="D223" s="18" t="s">
        <v>2226</v>
      </c>
      <c r="E223" s="18"/>
      <c r="F223" s="18" t="s">
        <v>1633</v>
      </c>
      <c r="G223" s="18"/>
    </row>
    <row r="224" customFormat="false" ht="36" hidden="false" customHeight="true" outlineLevel="0" collapsed="false">
      <c r="A224" s="18" t="s">
        <v>501</v>
      </c>
      <c r="B224" s="18" t="s">
        <v>1634</v>
      </c>
      <c r="C224" s="18" t="n">
        <v>5</v>
      </c>
      <c r="D224" s="18" t="s">
        <v>2227</v>
      </c>
      <c r="E224" s="18"/>
      <c r="F224" s="18" t="s">
        <v>1648</v>
      </c>
      <c r="G224" s="18"/>
    </row>
    <row r="225" customFormat="false" ht="36" hidden="false" customHeight="true" outlineLevel="0" collapsed="false">
      <c r="A225" s="18" t="s">
        <v>501</v>
      </c>
      <c r="B225" s="18" t="s">
        <v>1634</v>
      </c>
      <c r="C225" s="18" t="n">
        <v>6</v>
      </c>
      <c r="D225" s="18" t="s">
        <v>2228</v>
      </c>
      <c r="E225" s="18"/>
      <c r="F225" s="18" t="s">
        <v>1648</v>
      </c>
      <c r="G225" s="18"/>
    </row>
    <row r="226" customFormat="false" ht="36" hidden="false" customHeight="true" outlineLevel="0" collapsed="false">
      <c r="A226" s="18" t="s">
        <v>501</v>
      </c>
      <c r="B226" s="18" t="s">
        <v>1634</v>
      </c>
      <c r="C226" s="18" t="n">
        <v>7</v>
      </c>
      <c r="D226" s="18" t="s">
        <v>2229</v>
      </c>
      <c r="E226" s="18"/>
      <c r="F226" s="18" t="s">
        <v>1648</v>
      </c>
      <c r="G226" s="18"/>
    </row>
    <row r="227" customFormat="false" ht="36" hidden="false" customHeight="true" outlineLevel="0" collapsed="false">
      <c r="A227" s="18" t="s">
        <v>501</v>
      </c>
      <c r="B227" s="18" t="s">
        <v>1634</v>
      </c>
      <c r="C227" s="18" t="n">
        <v>8</v>
      </c>
      <c r="D227" s="18" t="s">
        <v>2230</v>
      </c>
      <c r="E227" s="18"/>
      <c r="F227" s="18" t="s">
        <v>1666</v>
      </c>
      <c r="G227" s="18"/>
    </row>
    <row r="228" customFormat="false" ht="36" hidden="false" customHeight="true" outlineLevel="0" collapsed="false">
      <c r="A228" s="18" t="s">
        <v>501</v>
      </c>
      <c r="B228" s="18" t="s">
        <v>1634</v>
      </c>
      <c r="C228" s="18" t="n">
        <v>9</v>
      </c>
      <c r="D228" s="18" t="s">
        <v>2231</v>
      </c>
      <c r="E228" s="18"/>
      <c r="F228" s="18" t="s">
        <v>1666</v>
      </c>
      <c r="G228" s="18"/>
    </row>
    <row r="229" customFormat="false" ht="36" hidden="false" customHeight="true" outlineLevel="0" collapsed="false">
      <c r="A229" s="18" t="s">
        <v>501</v>
      </c>
      <c r="B229" s="18" t="s">
        <v>1634</v>
      </c>
      <c r="C229" s="18" t="n">
        <v>10</v>
      </c>
      <c r="D229" s="18" t="s">
        <v>2232</v>
      </c>
      <c r="E229" s="18"/>
      <c r="F229" s="18" t="s">
        <v>1666</v>
      </c>
      <c r="G229" s="18"/>
    </row>
  </sheetData>
  <autoFilter ref="A1:G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J4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14"/>
    <col collapsed="false" customWidth="true" hidden="false" outlineLevel="0" max="7" min="6" style="0" width="12"/>
    <col collapsed="false" customWidth="true" hidden="false" outlineLevel="0" max="9" min="8" style="0" width="14"/>
    <col collapsed="false" customWidth="true" hidden="false" outlineLevel="0" max="10" min="10" style="0" width="40"/>
  </cols>
  <sheetData>
    <row r="1" customFormat="false" ht="23.85" hidden="false" customHeight="false" outlineLevel="0" collapsed="false">
      <c r="A1" s="11" t="s">
        <v>1678</v>
      </c>
      <c r="B1" s="11" t="s">
        <v>1679</v>
      </c>
      <c r="C1" s="11" t="s">
        <v>47</v>
      </c>
      <c r="D1" s="11" t="s">
        <v>2233</v>
      </c>
      <c r="E1" s="11" t="s">
        <v>48</v>
      </c>
      <c r="F1" s="11" t="s">
        <v>53</v>
      </c>
      <c r="G1" s="11" t="s">
        <v>2234</v>
      </c>
      <c r="H1" s="11" t="s">
        <v>2235</v>
      </c>
      <c r="I1" s="11" t="s">
        <v>2236</v>
      </c>
      <c r="J1" s="11" t="s">
        <v>2237</v>
      </c>
    </row>
    <row r="2" customFormat="false" ht="15" hidden="false" customHeight="false" outlineLevel="0" collapsed="false">
      <c r="A2" s="18" t="s">
        <v>199</v>
      </c>
      <c r="B2" s="18" t="s">
        <v>617</v>
      </c>
      <c r="C2" s="18" t="s">
        <v>2238</v>
      </c>
      <c r="D2" s="18" t="s">
        <v>2239</v>
      </c>
      <c r="E2" s="19" t="s">
        <v>93</v>
      </c>
      <c r="F2" s="19" t="n">
        <v>82.56</v>
      </c>
      <c r="G2" s="19" t="n">
        <v>95</v>
      </c>
      <c r="H2" s="19" t="n">
        <v>87</v>
      </c>
      <c r="I2" s="19" t="n">
        <v>81.28</v>
      </c>
      <c r="J2" s="19" t="s">
        <v>2240</v>
      </c>
    </row>
    <row r="3" customFormat="false" ht="15" hidden="false" customHeight="false" outlineLevel="0" collapsed="false">
      <c r="A3" s="18" t="s">
        <v>199</v>
      </c>
      <c r="B3" s="18" t="s">
        <v>617</v>
      </c>
      <c r="C3" s="18" t="s">
        <v>2241</v>
      </c>
      <c r="D3" s="18" t="s">
        <v>2242</v>
      </c>
      <c r="E3" s="19" t="s">
        <v>117</v>
      </c>
      <c r="F3" s="19" t="n">
        <v>16.78</v>
      </c>
      <c r="G3" s="19" t="n">
        <v>7</v>
      </c>
      <c r="H3" s="19" t="n">
        <v>7</v>
      </c>
      <c r="I3" s="19" t="n">
        <v>5.86</v>
      </c>
      <c r="J3" s="19" t="s">
        <v>2240</v>
      </c>
    </row>
    <row r="4" customFormat="false" ht="15" hidden="false" customHeight="false" outlineLevel="0" collapsed="false">
      <c r="A4" s="18" t="s">
        <v>199</v>
      </c>
      <c r="B4" s="18" t="s">
        <v>617</v>
      </c>
      <c r="C4" s="18" t="s">
        <v>2243</v>
      </c>
      <c r="D4" s="18" t="s">
        <v>2244</v>
      </c>
      <c r="E4" s="19" t="s">
        <v>93</v>
      </c>
      <c r="F4" s="19" t="n">
        <v>98.64</v>
      </c>
      <c r="G4" s="19" t="n">
        <v>97</v>
      </c>
      <c r="H4" s="19" t="n">
        <v>98</v>
      </c>
      <c r="I4" s="19" t="n">
        <v>85.72</v>
      </c>
      <c r="J4" s="19" t="s">
        <v>2240</v>
      </c>
    </row>
    <row r="5" customFormat="false" ht="15" hidden="false" customHeight="false" outlineLevel="0" collapsed="false">
      <c r="A5" s="18" t="s">
        <v>274</v>
      </c>
      <c r="B5" s="18" t="s">
        <v>837</v>
      </c>
      <c r="C5" s="18" t="s">
        <v>2245</v>
      </c>
      <c r="D5" s="18" t="s">
        <v>2246</v>
      </c>
      <c r="E5" s="19" t="s">
        <v>73</v>
      </c>
      <c r="F5" s="19" t="n">
        <v>393.96</v>
      </c>
      <c r="G5" s="19" t="n">
        <v>520</v>
      </c>
      <c r="H5" s="19" t="n">
        <v>227.78</v>
      </c>
      <c r="I5" s="19" t="n">
        <v>97.48</v>
      </c>
      <c r="J5" s="19" t="s">
        <v>2240</v>
      </c>
    </row>
    <row r="6" customFormat="false" ht="15" hidden="false" customHeight="false" outlineLevel="0" collapsed="false">
      <c r="A6" s="18" t="s">
        <v>274</v>
      </c>
      <c r="B6" s="18" t="s">
        <v>837</v>
      </c>
      <c r="C6" s="18" t="s">
        <v>2247</v>
      </c>
      <c r="D6" s="18" t="s">
        <v>2248</v>
      </c>
      <c r="E6" s="19" t="s">
        <v>93</v>
      </c>
      <c r="F6" s="19" t="n">
        <v>0</v>
      </c>
      <c r="G6" s="19" t="n">
        <v>83.5</v>
      </c>
      <c r="H6" s="19" t="n">
        <v>83</v>
      </c>
      <c r="I6" s="19" t="n">
        <v>81.61</v>
      </c>
      <c r="J6" s="19" t="s">
        <v>2240</v>
      </c>
    </row>
    <row r="7" customFormat="false" ht="15" hidden="false" customHeight="false" outlineLevel="0" collapsed="false">
      <c r="A7" s="18" t="s">
        <v>274</v>
      </c>
      <c r="B7" s="18" t="s">
        <v>837</v>
      </c>
      <c r="C7" s="18" t="s">
        <v>2249</v>
      </c>
      <c r="D7" s="18" t="s">
        <v>2250</v>
      </c>
      <c r="E7" s="19" t="s">
        <v>93</v>
      </c>
      <c r="F7" s="19" t="n">
        <v>0</v>
      </c>
      <c r="G7" s="19" t="n">
        <v>83.5</v>
      </c>
      <c r="H7" s="19" t="n">
        <v>83</v>
      </c>
      <c r="I7" s="19" t="n">
        <v>84.1</v>
      </c>
      <c r="J7" s="19" t="s">
        <v>2240</v>
      </c>
    </row>
    <row r="8" customFormat="false" ht="15" hidden="false" customHeight="false" outlineLevel="0" collapsed="false">
      <c r="A8" s="18" t="s">
        <v>274</v>
      </c>
      <c r="B8" s="18" t="s">
        <v>886</v>
      </c>
      <c r="C8" s="18" t="s">
        <v>2251</v>
      </c>
      <c r="D8" s="18" t="s">
        <v>2252</v>
      </c>
      <c r="E8" s="19" t="s">
        <v>93</v>
      </c>
      <c r="F8" s="19" t="n">
        <v>0</v>
      </c>
      <c r="G8" s="19" t="n">
        <v>82</v>
      </c>
      <c r="H8" s="19" t="n">
        <v>78.3</v>
      </c>
      <c r="I8" s="19" t="n">
        <v>79.93</v>
      </c>
      <c r="J8" s="19" t="s">
        <v>2240</v>
      </c>
    </row>
    <row r="9" customFormat="false" ht="15" hidden="false" customHeight="false" outlineLevel="0" collapsed="false">
      <c r="A9" s="18" t="s">
        <v>274</v>
      </c>
      <c r="B9" s="18" t="s">
        <v>886</v>
      </c>
      <c r="C9" s="18" t="s">
        <v>2253</v>
      </c>
      <c r="D9" s="18" t="s">
        <v>2254</v>
      </c>
      <c r="E9" s="19" t="s">
        <v>93</v>
      </c>
      <c r="F9" s="19" t="n">
        <v>0</v>
      </c>
      <c r="G9" s="19" t="n">
        <v>80</v>
      </c>
      <c r="H9" s="19" t="n">
        <v>76.8</v>
      </c>
      <c r="I9" s="19" t="n">
        <v>77.07</v>
      </c>
      <c r="J9" s="19" t="s">
        <v>2240</v>
      </c>
    </row>
    <row r="10" customFormat="false" ht="15" hidden="false" customHeight="false" outlineLevel="0" collapsed="false">
      <c r="A10" s="18" t="s">
        <v>274</v>
      </c>
      <c r="B10" s="18" t="s">
        <v>886</v>
      </c>
      <c r="C10" s="18" t="s">
        <v>2255</v>
      </c>
      <c r="D10" s="18" t="s">
        <v>2256</v>
      </c>
      <c r="E10" s="19" t="s">
        <v>93</v>
      </c>
      <c r="F10" s="19" t="n">
        <v>12</v>
      </c>
      <c r="G10" s="19" t="n">
        <v>5</v>
      </c>
      <c r="H10" s="19" t="n">
        <v>9</v>
      </c>
      <c r="I10" s="19" t="n">
        <v>7.32</v>
      </c>
      <c r="J10" s="19" t="s">
        <v>2240</v>
      </c>
    </row>
    <row r="11" customFormat="false" ht="15" hidden="false" customHeight="false" outlineLevel="0" collapsed="false">
      <c r="A11" s="18" t="s">
        <v>274</v>
      </c>
      <c r="B11" s="18" t="s">
        <v>886</v>
      </c>
      <c r="C11" s="18" t="s">
        <v>2257</v>
      </c>
      <c r="D11" s="18" t="s">
        <v>2258</v>
      </c>
      <c r="E11" s="19" t="s">
        <v>93</v>
      </c>
      <c r="F11" s="19" t="n">
        <v>0</v>
      </c>
      <c r="G11" s="19" t="n">
        <v>0</v>
      </c>
      <c r="H11" s="19" t="n">
        <v>75</v>
      </c>
      <c r="I11" s="19" t="n">
        <v>0</v>
      </c>
      <c r="J11" s="19" t="s">
        <v>2240</v>
      </c>
    </row>
    <row r="12" customFormat="false" ht="15" hidden="false" customHeight="false" outlineLevel="0" collapsed="false">
      <c r="A12" s="18" t="s">
        <v>274</v>
      </c>
      <c r="B12" s="18" t="s">
        <v>886</v>
      </c>
      <c r="C12" s="18" t="s">
        <v>2259</v>
      </c>
      <c r="D12" s="18" t="s">
        <v>2260</v>
      </c>
      <c r="E12" s="19" t="s">
        <v>93</v>
      </c>
      <c r="F12" s="19" t="n">
        <v>0</v>
      </c>
      <c r="G12" s="19" t="n">
        <v>75</v>
      </c>
      <c r="H12" s="19" t="n">
        <v>0</v>
      </c>
      <c r="I12" s="19" t="n">
        <v>0</v>
      </c>
      <c r="J12" s="19" t="s">
        <v>2240</v>
      </c>
    </row>
    <row r="13" customFormat="false" ht="15" hidden="false" customHeight="false" outlineLevel="0" collapsed="false">
      <c r="A13" s="18" t="s">
        <v>274</v>
      </c>
      <c r="B13" s="18" t="s">
        <v>886</v>
      </c>
      <c r="C13" s="18" t="s">
        <v>2261</v>
      </c>
      <c r="D13" s="18" t="s">
        <v>2262</v>
      </c>
      <c r="E13" s="19" t="s">
        <v>93</v>
      </c>
      <c r="F13" s="19" t="n">
        <v>0</v>
      </c>
      <c r="G13" s="19" t="n">
        <v>20</v>
      </c>
      <c r="H13" s="19" t="n">
        <v>0</v>
      </c>
      <c r="I13" s="19" t="n">
        <v>0</v>
      </c>
      <c r="J13" s="19" t="s">
        <v>2240</v>
      </c>
    </row>
    <row r="14" customFormat="false" ht="15" hidden="false" customHeight="false" outlineLevel="0" collapsed="false">
      <c r="A14" s="18" t="s">
        <v>274</v>
      </c>
      <c r="B14" s="18" t="s">
        <v>886</v>
      </c>
      <c r="C14" s="18" t="s">
        <v>2263</v>
      </c>
      <c r="D14" s="18" t="s">
        <v>2264</v>
      </c>
      <c r="E14" s="19" t="s">
        <v>93</v>
      </c>
      <c r="F14" s="19" t="n">
        <v>0</v>
      </c>
      <c r="G14" s="19" t="n">
        <v>5</v>
      </c>
      <c r="H14" s="19" t="n">
        <v>0</v>
      </c>
      <c r="I14" s="19" t="n">
        <v>0</v>
      </c>
      <c r="J14" s="19" t="s">
        <v>2240</v>
      </c>
    </row>
    <row r="15" customFormat="false" ht="15" hidden="false" customHeight="false" outlineLevel="0" collapsed="false">
      <c r="A15" s="18" t="s">
        <v>320</v>
      </c>
      <c r="B15" s="18" t="s">
        <v>954</v>
      </c>
      <c r="C15" s="18" t="s">
        <v>2265</v>
      </c>
      <c r="D15" s="18" t="s">
        <v>2266</v>
      </c>
      <c r="E15" s="19" t="s">
        <v>79</v>
      </c>
      <c r="F15" s="19" t="n">
        <v>103299</v>
      </c>
      <c r="G15" s="19" t="n">
        <v>266230</v>
      </c>
      <c r="H15" s="19" t="n">
        <v>126300</v>
      </c>
      <c r="I15" s="19" t="n">
        <v>15822</v>
      </c>
      <c r="J15" s="19" t="s">
        <v>2240</v>
      </c>
    </row>
    <row r="16" customFormat="false" ht="15" hidden="false" customHeight="false" outlineLevel="0" collapsed="false">
      <c r="A16" s="18" t="s">
        <v>320</v>
      </c>
      <c r="B16" s="18" t="s">
        <v>954</v>
      </c>
      <c r="C16" s="18" t="s">
        <v>2267</v>
      </c>
      <c r="D16" s="18" t="s">
        <v>2268</v>
      </c>
      <c r="E16" s="19" t="s">
        <v>79</v>
      </c>
      <c r="F16" s="19" t="n">
        <v>594144</v>
      </c>
      <c r="G16" s="19" t="n">
        <v>1283770</v>
      </c>
      <c r="H16" s="19" t="n">
        <v>294700</v>
      </c>
      <c r="I16" s="19" t="n">
        <v>97406</v>
      </c>
      <c r="J16" s="19" t="s">
        <v>2240</v>
      </c>
    </row>
    <row r="17" customFormat="false" ht="15" hidden="false" customHeight="false" outlineLevel="0" collapsed="false">
      <c r="A17" s="18" t="s">
        <v>320</v>
      </c>
      <c r="B17" s="18" t="s">
        <v>954</v>
      </c>
      <c r="C17" s="18" t="s">
        <v>2269</v>
      </c>
      <c r="D17" s="18" t="s">
        <v>2270</v>
      </c>
      <c r="E17" s="19" t="s">
        <v>79</v>
      </c>
      <c r="F17" s="19" t="n">
        <v>550982</v>
      </c>
      <c r="G17" s="19" t="n">
        <v>1380196</v>
      </c>
      <c r="H17" s="19" t="n">
        <v>421000</v>
      </c>
      <c r="I17" s="19" t="n">
        <v>173334</v>
      </c>
      <c r="J17" s="19" t="s">
        <v>2240</v>
      </c>
    </row>
    <row r="18" customFormat="false" ht="15" hidden="false" customHeight="false" outlineLevel="0" collapsed="false">
      <c r="A18" s="18" t="s">
        <v>320</v>
      </c>
      <c r="B18" s="18" t="s">
        <v>954</v>
      </c>
      <c r="C18" s="18" t="s">
        <v>2271</v>
      </c>
      <c r="D18" s="18" t="s">
        <v>2272</v>
      </c>
      <c r="E18" s="19" t="s">
        <v>73</v>
      </c>
      <c r="F18" s="19" t="n">
        <v>1602.67</v>
      </c>
      <c r="G18" s="19" t="n">
        <v>3749.66</v>
      </c>
      <c r="H18" s="19" t="n">
        <v>2547.01</v>
      </c>
      <c r="I18" s="19" t="n">
        <v>460.4</v>
      </c>
      <c r="J18" s="19" t="s">
        <v>2240</v>
      </c>
    </row>
    <row r="19" customFormat="false" ht="15" hidden="false" customHeight="false" outlineLevel="0" collapsed="false">
      <c r="A19" s="18" t="s">
        <v>320</v>
      </c>
      <c r="B19" s="18" t="s">
        <v>954</v>
      </c>
      <c r="C19" s="18" t="s">
        <v>2273</v>
      </c>
      <c r="D19" s="18" t="s">
        <v>2274</v>
      </c>
      <c r="E19" s="19" t="s">
        <v>117</v>
      </c>
      <c r="F19" s="19" t="n">
        <v>0.82</v>
      </c>
      <c r="G19" s="19" t="n">
        <v>3</v>
      </c>
      <c r="H19" s="19" t="n">
        <v>45</v>
      </c>
      <c r="I19" s="19" t="n">
        <v>45</v>
      </c>
      <c r="J19" s="19" t="s">
        <v>2240</v>
      </c>
    </row>
    <row r="20" customFormat="false" ht="15" hidden="false" customHeight="false" outlineLevel="0" collapsed="false">
      <c r="A20" s="18" t="s">
        <v>320</v>
      </c>
      <c r="B20" s="18" t="s">
        <v>954</v>
      </c>
      <c r="C20" s="18" t="s">
        <v>2275</v>
      </c>
      <c r="D20" s="18" t="s">
        <v>2276</v>
      </c>
      <c r="E20" s="19" t="s">
        <v>73</v>
      </c>
      <c r="F20" s="19" t="n">
        <v>0</v>
      </c>
      <c r="G20" s="19" t="n">
        <v>2096</v>
      </c>
      <c r="H20" s="19" t="n">
        <v>0</v>
      </c>
      <c r="I20" s="19" t="n">
        <v>0</v>
      </c>
      <c r="J20" s="19" t="s">
        <v>2240</v>
      </c>
    </row>
    <row r="21" customFormat="false" ht="15" hidden="false" customHeight="false" outlineLevel="0" collapsed="false">
      <c r="A21" s="18" t="s">
        <v>320</v>
      </c>
      <c r="B21" s="18" t="s">
        <v>1038</v>
      </c>
      <c r="C21" s="18" t="s">
        <v>2277</v>
      </c>
      <c r="D21" s="18" t="s">
        <v>2278</v>
      </c>
      <c r="E21" s="19" t="s">
        <v>73</v>
      </c>
      <c r="F21" s="19" t="n">
        <v>4117.94</v>
      </c>
      <c r="G21" s="19" t="n">
        <v>4500</v>
      </c>
      <c r="H21" s="19" t="n">
        <v>2944.12</v>
      </c>
      <c r="I21" s="19" t="n">
        <v>2290.71</v>
      </c>
      <c r="J21" s="19" t="s">
        <v>2240</v>
      </c>
    </row>
    <row r="22" customFormat="false" ht="15" hidden="false" customHeight="false" outlineLevel="0" collapsed="false">
      <c r="A22" s="18" t="s">
        <v>320</v>
      </c>
      <c r="B22" s="18" t="s">
        <v>1038</v>
      </c>
      <c r="C22" s="18" t="s">
        <v>2279</v>
      </c>
      <c r="D22" s="18" t="s">
        <v>2280</v>
      </c>
      <c r="E22" s="19" t="s">
        <v>79</v>
      </c>
      <c r="F22" s="19" t="n">
        <v>47968</v>
      </c>
      <c r="G22" s="19" t="n">
        <v>115000</v>
      </c>
      <c r="H22" s="19" t="n">
        <v>56875</v>
      </c>
      <c r="I22" s="19" t="n">
        <v>11156</v>
      </c>
      <c r="J22" s="19" t="s">
        <v>2240</v>
      </c>
    </row>
    <row r="23" customFormat="false" ht="15" hidden="false" customHeight="false" outlineLevel="0" collapsed="false">
      <c r="A23" s="18" t="s">
        <v>320</v>
      </c>
      <c r="B23" s="18" t="s">
        <v>1038</v>
      </c>
      <c r="C23" s="18" t="s">
        <v>2281</v>
      </c>
      <c r="D23" s="18" t="s">
        <v>2282</v>
      </c>
      <c r="E23" s="19" t="s">
        <v>79</v>
      </c>
      <c r="F23" s="19" t="n">
        <v>130565</v>
      </c>
      <c r="G23" s="19" t="n">
        <v>115000</v>
      </c>
      <c r="H23" s="19" t="n">
        <v>56875</v>
      </c>
      <c r="I23" s="19" t="n">
        <v>43645</v>
      </c>
      <c r="J23" s="19" t="s">
        <v>2240</v>
      </c>
    </row>
    <row r="24" customFormat="false" ht="15" hidden="false" customHeight="false" outlineLevel="0" collapsed="false">
      <c r="A24" s="18" t="s">
        <v>361</v>
      </c>
      <c r="B24" s="18" t="s">
        <v>1114</v>
      </c>
      <c r="C24" s="18" t="s">
        <v>2283</v>
      </c>
      <c r="D24" s="18" t="s">
        <v>2284</v>
      </c>
      <c r="E24" s="19" t="s">
        <v>73</v>
      </c>
      <c r="F24" s="19" t="n">
        <v>0</v>
      </c>
      <c r="G24" s="19" t="n">
        <v>0</v>
      </c>
      <c r="H24" s="19" t="n">
        <v>0</v>
      </c>
      <c r="I24" s="19" t="n">
        <v>0</v>
      </c>
      <c r="J24" s="19" t="s">
        <v>2285</v>
      </c>
    </row>
    <row r="25" customFormat="false" ht="15" hidden="false" customHeight="false" outlineLevel="0" collapsed="false">
      <c r="A25" s="18" t="s">
        <v>361</v>
      </c>
      <c r="B25" s="18" t="s">
        <v>1179</v>
      </c>
      <c r="C25" s="18" t="s">
        <v>2286</v>
      </c>
      <c r="D25" s="18" t="s">
        <v>2287</v>
      </c>
      <c r="E25" s="19" t="s">
        <v>79</v>
      </c>
      <c r="F25" s="19" t="n">
        <v>1268732</v>
      </c>
      <c r="G25" s="19" t="n">
        <v>1268732</v>
      </c>
      <c r="H25" s="19" t="n">
        <v>0</v>
      </c>
      <c r="I25" s="19" t="n">
        <v>221594</v>
      </c>
      <c r="J25" s="19" t="s">
        <v>2240</v>
      </c>
    </row>
    <row r="26" customFormat="false" ht="15" hidden="false" customHeight="false" outlineLevel="0" collapsed="false">
      <c r="A26" s="18" t="s">
        <v>432</v>
      </c>
      <c r="B26" s="18" t="s">
        <v>1447</v>
      </c>
      <c r="C26" s="18" t="s">
        <v>2288</v>
      </c>
      <c r="D26" s="18" t="s">
        <v>2289</v>
      </c>
      <c r="E26" s="19" t="s">
        <v>93</v>
      </c>
      <c r="F26" s="19" t="n">
        <v>36.7</v>
      </c>
      <c r="G26" s="19" t="n">
        <v>70</v>
      </c>
      <c r="H26" s="19" t="n">
        <v>70</v>
      </c>
      <c r="I26" s="19" t="n">
        <v>84.88</v>
      </c>
      <c r="J26" s="19" t="s">
        <v>2240</v>
      </c>
    </row>
    <row r="27" customFormat="false" ht="15" hidden="false" customHeight="false" outlineLevel="0" collapsed="false">
      <c r="A27" s="18" t="s">
        <v>432</v>
      </c>
      <c r="B27" s="18" t="s">
        <v>1447</v>
      </c>
      <c r="C27" s="18" t="s">
        <v>2290</v>
      </c>
      <c r="D27" s="18" t="s">
        <v>2291</v>
      </c>
      <c r="E27" s="19" t="s">
        <v>73</v>
      </c>
      <c r="F27" s="19" t="n">
        <v>2919.48</v>
      </c>
      <c r="G27" s="19" t="n">
        <v>2250</v>
      </c>
      <c r="H27" s="19" t="n">
        <v>2083.33</v>
      </c>
      <c r="I27" s="19" t="n">
        <v>746.09</v>
      </c>
      <c r="J27" s="19" t="s">
        <v>2240</v>
      </c>
    </row>
    <row r="28" customFormat="false" ht="15" hidden="false" customHeight="false" outlineLevel="0" collapsed="false">
      <c r="A28" s="18" t="s">
        <v>432</v>
      </c>
      <c r="B28" s="18" t="s">
        <v>1447</v>
      </c>
      <c r="C28" s="18" t="s">
        <v>2292</v>
      </c>
      <c r="D28" s="18" t="s">
        <v>2293</v>
      </c>
      <c r="E28" s="19" t="s">
        <v>73</v>
      </c>
      <c r="F28" s="19" t="n">
        <v>1852.78</v>
      </c>
      <c r="G28" s="19" t="n">
        <v>670</v>
      </c>
      <c r="H28" s="19" t="n">
        <v>2083.33</v>
      </c>
      <c r="I28" s="19" t="n">
        <v>936.9</v>
      </c>
      <c r="J28" s="19" t="s">
        <v>2240</v>
      </c>
    </row>
    <row r="29" customFormat="false" ht="15" hidden="false" customHeight="false" outlineLevel="0" collapsed="false">
      <c r="A29" s="18" t="s">
        <v>432</v>
      </c>
      <c r="B29" s="18" t="s">
        <v>1447</v>
      </c>
      <c r="C29" s="18" t="s">
        <v>2294</v>
      </c>
      <c r="D29" s="18" t="s">
        <v>2295</v>
      </c>
      <c r="E29" s="19" t="s">
        <v>73</v>
      </c>
      <c r="F29" s="19" t="n">
        <v>581.66</v>
      </c>
      <c r="G29" s="19" t="n">
        <v>550</v>
      </c>
      <c r="H29" s="19" t="n">
        <v>400</v>
      </c>
      <c r="I29" s="19" t="n">
        <v>203.25</v>
      </c>
      <c r="J29" s="19" t="s">
        <v>2240</v>
      </c>
    </row>
    <row r="30" customFormat="false" ht="15" hidden="false" customHeight="false" outlineLevel="0" collapsed="false">
      <c r="A30" s="18" t="s">
        <v>432</v>
      </c>
      <c r="B30" s="18" t="s">
        <v>1447</v>
      </c>
      <c r="C30" s="18" t="s">
        <v>2296</v>
      </c>
      <c r="D30" s="18" t="s">
        <v>2297</v>
      </c>
      <c r="E30" s="19" t="s">
        <v>117</v>
      </c>
      <c r="F30" s="19" t="n">
        <v>65</v>
      </c>
      <c r="G30" s="19" t="n">
        <v>65</v>
      </c>
      <c r="H30" s="19" t="n">
        <v>65</v>
      </c>
      <c r="I30" s="19" t="n">
        <v>65</v>
      </c>
      <c r="J30" s="19" t="s">
        <v>2240</v>
      </c>
    </row>
    <row r="31" customFormat="false" ht="15" hidden="false" customHeight="false" outlineLevel="0" collapsed="false">
      <c r="A31" s="18" t="s">
        <v>432</v>
      </c>
      <c r="B31" s="18" t="s">
        <v>1447</v>
      </c>
      <c r="C31" s="18" t="s">
        <v>2298</v>
      </c>
      <c r="D31" s="18" t="s">
        <v>2299</v>
      </c>
      <c r="E31" s="19" t="s">
        <v>93</v>
      </c>
      <c r="F31" s="19" t="n">
        <v>50</v>
      </c>
      <c r="G31" s="19" t="n">
        <v>100</v>
      </c>
      <c r="H31" s="19" t="n">
        <v>0</v>
      </c>
      <c r="I31" s="19" t="n">
        <v>0</v>
      </c>
      <c r="J31" s="19" t="s">
        <v>2240</v>
      </c>
    </row>
    <row r="32" customFormat="false" ht="15" hidden="false" customHeight="false" outlineLevel="0" collapsed="false">
      <c r="A32" s="18" t="s">
        <v>432</v>
      </c>
      <c r="B32" s="18" t="s">
        <v>1447</v>
      </c>
      <c r="C32" s="18" t="s">
        <v>2300</v>
      </c>
      <c r="D32" s="18" t="s">
        <v>2301</v>
      </c>
      <c r="E32" s="19" t="s">
        <v>93</v>
      </c>
      <c r="F32" s="19" t="n">
        <v>50</v>
      </c>
      <c r="G32" s="19" t="n">
        <v>100</v>
      </c>
      <c r="H32" s="19" t="n">
        <v>0</v>
      </c>
      <c r="I32" s="19" t="n">
        <v>0</v>
      </c>
      <c r="J32" s="19" t="s">
        <v>2240</v>
      </c>
    </row>
    <row r="33" customFormat="false" ht="22.35" hidden="false" customHeight="false" outlineLevel="0" collapsed="false">
      <c r="A33" s="18" t="s">
        <v>432</v>
      </c>
      <c r="B33" s="18" t="s">
        <v>1447</v>
      </c>
      <c r="C33" s="18" t="s">
        <v>2302</v>
      </c>
      <c r="D33" s="18" t="s">
        <v>2303</v>
      </c>
      <c r="E33" s="19" t="s">
        <v>93</v>
      </c>
      <c r="F33" s="19" t="n">
        <v>0</v>
      </c>
      <c r="G33" s="19" t="n">
        <v>100</v>
      </c>
      <c r="H33" s="19" t="n">
        <v>85</v>
      </c>
      <c r="I33" s="19" t="n">
        <v>30</v>
      </c>
      <c r="J33" s="19" t="s">
        <v>2240</v>
      </c>
    </row>
    <row r="34" customFormat="false" ht="22.35" hidden="false" customHeight="false" outlineLevel="0" collapsed="false">
      <c r="A34" s="18" t="s">
        <v>461</v>
      </c>
      <c r="B34" s="18" t="s">
        <v>1547</v>
      </c>
      <c r="C34" s="18" t="s">
        <v>2304</v>
      </c>
      <c r="D34" s="18" t="s">
        <v>2305</v>
      </c>
      <c r="E34" s="19" t="s">
        <v>93</v>
      </c>
      <c r="F34" s="19" t="n">
        <v>0</v>
      </c>
      <c r="G34" s="19" t="n">
        <v>0</v>
      </c>
      <c r="H34" s="19" t="n">
        <v>100</v>
      </c>
      <c r="I34" s="19" t="n">
        <v>99</v>
      </c>
      <c r="J34" s="19" t="s">
        <v>2240</v>
      </c>
    </row>
    <row r="35" customFormat="false" ht="22.35" hidden="false" customHeight="false" outlineLevel="0" collapsed="false">
      <c r="A35" s="18" t="s">
        <v>461</v>
      </c>
      <c r="B35" s="18" t="s">
        <v>1547</v>
      </c>
      <c r="C35" s="18" t="s">
        <v>2306</v>
      </c>
      <c r="D35" s="18" t="s">
        <v>2307</v>
      </c>
      <c r="E35" s="19" t="s">
        <v>93</v>
      </c>
      <c r="F35" s="19" t="n">
        <v>0</v>
      </c>
      <c r="G35" s="19" t="n">
        <v>0</v>
      </c>
      <c r="H35" s="19" t="n">
        <v>99</v>
      </c>
      <c r="I35" s="19" t="n">
        <v>99</v>
      </c>
      <c r="J35" s="19" t="s">
        <v>2240</v>
      </c>
    </row>
    <row r="36" customFormat="false" ht="15" hidden="false" customHeight="false" outlineLevel="0" collapsed="false">
      <c r="A36" s="18" t="s">
        <v>501</v>
      </c>
      <c r="B36" s="18" t="s">
        <v>1605</v>
      </c>
      <c r="C36" s="18" t="s">
        <v>2308</v>
      </c>
      <c r="D36" s="18" t="s">
        <v>2309</v>
      </c>
      <c r="E36" s="19" t="s">
        <v>117</v>
      </c>
      <c r="F36" s="19" t="n">
        <v>0</v>
      </c>
      <c r="G36" s="19" t="n">
        <v>0</v>
      </c>
      <c r="H36" s="19" t="n">
        <v>4.5</v>
      </c>
      <c r="I36" s="19" t="n">
        <v>5.17</v>
      </c>
      <c r="J36" s="19" t="s">
        <v>2240</v>
      </c>
    </row>
    <row r="37" customFormat="false" ht="15" hidden="false" customHeight="false" outlineLevel="0" collapsed="false">
      <c r="A37" s="18" t="s">
        <v>501</v>
      </c>
      <c r="B37" s="18" t="s">
        <v>1605</v>
      </c>
      <c r="C37" s="18" t="s">
        <v>2310</v>
      </c>
      <c r="D37" s="18" t="s">
        <v>2311</v>
      </c>
      <c r="E37" s="19" t="s">
        <v>117</v>
      </c>
      <c r="F37" s="19" t="n">
        <v>0</v>
      </c>
      <c r="G37" s="19" t="n">
        <v>0</v>
      </c>
      <c r="H37" s="19" t="n">
        <v>4.8</v>
      </c>
      <c r="I37" s="19" t="n">
        <v>5.81</v>
      </c>
      <c r="J37" s="19" t="s">
        <v>2240</v>
      </c>
    </row>
    <row r="38" customFormat="false" ht="15" hidden="false" customHeight="false" outlineLevel="0" collapsed="false">
      <c r="A38" s="18" t="s">
        <v>501</v>
      </c>
      <c r="B38" s="18" t="s">
        <v>1605</v>
      </c>
      <c r="C38" s="18" t="s">
        <v>2312</v>
      </c>
      <c r="D38" s="18" t="s">
        <v>2313</v>
      </c>
      <c r="E38" s="19" t="s">
        <v>117</v>
      </c>
      <c r="F38" s="19" t="n">
        <v>0</v>
      </c>
      <c r="G38" s="19" t="n">
        <v>0</v>
      </c>
      <c r="H38" s="19" t="n">
        <v>4.6</v>
      </c>
      <c r="I38" s="19" t="n">
        <v>3.87</v>
      </c>
      <c r="J38" s="19" t="s">
        <v>2240</v>
      </c>
    </row>
    <row r="39" customFormat="false" ht="15" hidden="false" customHeight="false" outlineLevel="0" collapsed="false">
      <c r="A39" s="18" t="s">
        <v>501</v>
      </c>
      <c r="B39" s="18" t="s">
        <v>1605</v>
      </c>
      <c r="C39" s="18" t="s">
        <v>2314</v>
      </c>
      <c r="D39" s="18" t="s">
        <v>2315</v>
      </c>
      <c r="E39" s="19" t="s">
        <v>117</v>
      </c>
      <c r="F39" s="19" t="n">
        <v>0</v>
      </c>
      <c r="G39" s="19" t="n">
        <v>0</v>
      </c>
      <c r="H39" s="19" t="n">
        <v>42.7</v>
      </c>
      <c r="I39" s="19" t="n">
        <v>5</v>
      </c>
      <c r="J39" s="19" t="s">
        <v>2240</v>
      </c>
    </row>
    <row r="40" customFormat="false" ht="15" hidden="false" customHeight="false" outlineLevel="0" collapsed="false">
      <c r="A40" s="18" t="s">
        <v>501</v>
      </c>
      <c r="B40" s="18" t="s">
        <v>1605</v>
      </c>
      <c r="C40" s="18" t="s">
        <v>2316</v>
      </c>
      <c r="D40" s="18" t="s">
        <v>2317</v>
      </c>
      <c r="E40" s="19" t="s">
        <v>117</v>
      </c>
      <c r="F40" s="19" t="n">
        <v>0</v>
      </c>
      <c r="G40" s="19" t="n">
        <v>0</v>
      </c>
      <c r="H40" s="19" t="n">
        <v>32</v>
      </c>
      <c r="I40" s="19" t="n">
        <v>2.22</v>
      </c>
      <c r="J40" s="19" t="s">
        <v>2240</v>
      </c>
    </row>
    <row r="41" customFormat="false" ht="15" hidden="false" customHeight="false" outlineLevel="0" collapsed="false">
      <c r="A41" s="18" t="s">
        <v>501</v>
      </c>
      <c r="B41" s="18" t="s">
        <v>1605</v>
      </c>
      <c r="C41" s="18" t="s">
        <v>2318</v>
      </c>
      <c r="D41" s="18" t="s">
        <v>2319</v>
      </c>
      <c r="E41" s="19" t="s">
        <v>117</v>
      </c>
      <c r="F41" s="19" t="n">
        <v>0</v>
      </c>
      <c r="G41" s="19" t="n">
        <v>0</v>
      </c>
      <c r="H41" s="19" t="n">
        <v>36.8</v>
      </c>
      <c r="I41" s="19" t="n">
        <v>5.33</v>
      </c>
      <c r="J41" s="19" t="s">
        <v>2240</v>
      </c>
    </row>
    <row r="42" customFormat="false" ht="22.35" hidden="false" customHeight="false" outlineLevel="0" collapsed="false">
      <c r="A42" s="18" t="s">
        <v>501</v>
      </c>
      <c r="B42" s="18" t="s">
        <v>1634</v>
      </c>
      <c r="C42" s="18" t="s">
        <v>2320</v>
      </c>
      <c r="D42" s="18" t="s">
        <v>2321</v>
      </c>
      <c r="E42" s="19" t="s">
        <v>2322</v>
      </c>
      <c r="F42" s="19" t="n">
        <v>0</v>
      </c>
      <c r="G42" s="19" t="n">
        <v>0.02</v>
      </c>
      <c r="H42" s="19" t="n">
        <v>0.5</v>
      </c>
      <c r="I42" s="19" t="n">
        <v>0.01</v>
      </c>
      <c r="J42" s="19" t="s">
        <v>2240</v>
      </c>
    </row>
    <row r="43" customFormat="false" ht="22.35" hidden="false" customHeight="false" outlineLevel="0" collapsed="false">
      <c r="A43" s="18" t="s">
        <v>501</v>
      </c>
      <c r="B43" s="18" t="s">
        <v>1634</v>
      </c>
      <c r="C43" s="18" t="s">
        <v>2323</v>
      </c>
      <c r="D43" s="18" t="s">
        <v>2324</v>
      </c>
      <c r="E43" s="19" t="s">
        <v>93</v>
      </c>
      <c r="F43" s="19" t="n">
        <v>60</v>
      </c>
      <c r="G43" s="19" t="n">
        <v>100</v>
      </c>
      <c r="H43" s="19" t="n">
        <v>100</v>
      </c>
      <c r="I43" s="19" t="n">
        <v>100</v>
      </c>
      <c r="J43" s="19" t="s">
        <v>2240</v>
      </c>
    </row>
  </sheetData>
  <autoFilter ref="A1:J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I4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6"/>
    <col collapsed="false" customWidth="true" hidden="false" outlineLevel="0" max="4" min="4" style="0" width="60"/>
    <col collapsed="false" customWidth="true" hidden="false" outlineLevel="0" max="8" min="5" style="0" width="12"/>
    <col collapsed="false" customWidth="true" hidden="false" outlineLevel="0" max="9" min="9" style="0" width="70"/>
  </cols>
  <sheetData>
    <row r="1" customFormat="false" ht="15" hidden="false" customHeight="false" outlineLevel="0" collapsed="false">
      <c r="A1" s="11" t="s">
        <v>2325</v>
      </c>
      <c r="B1" s="11" t="s">
        <v>2326</v>
      </c>
      <c r="C1" s="11" t="s">
        <v>48</v>
      </c>
      <c r="D1" s="11" t="s">
        <v>2327</v>
      </c>
      <c r="E1" s="11" t="s">
        <v>51</v>
      </c>
      <c r="F1" s="11" t="s">
        <v>2328</v>
      </c>
      <c r="G1" s="11" t="s">
        <v>2329</v>
      </c>
      <c r="H1" s="11" t="s">
        <v>2330</v>
      </c>
      <c r="I1" s="11" t="s">
        <v>2331</v>
      </c>
    </row>
    <row r="2" customFormat="false" ht="15" hidden="false" customHeight="false" outlineLevel="0" collapsed="false">
      <c r="A2" s="19" t="s">
        <v>63</v>
      </c>
      <c r="B2" s="19" t="s">
        <v>104</v>
      </c>
      <c r="C2" s="18" t="s">
        <v>63</v>
      </c>
      <c r="D2" s="18" t="s">
        <v>105</v>
      </c>
      <c r="E2" s="19" t="s">
        <v>106</v>
      </c>
      <c r="F2" s="19" t="n">
        <v>1526</v>
      </c>
      <c r="G2" s="19" t="n">
        <v>1156.52</v>
      </c>
      <c r="H2" s="19" t="n">
        <v>2313.04</v>
      </c>
      <c r="I2" s="18" t="s">
        <v>107</v>
      </c>
    </row>
    <row r="3" customFormat="false" ht="15" hidden="false" customHeight="false" outlineLevel="0" collapsed="false">
      <c r="A3" s="19" t="s">
        <v>63</v>
      </c>
      <c r="B3" s="19" t="s">
        <v>111</v>
      </c>
      <c r="C3" s="18" t="s">
        <v>63</v>
      </c>
      <c r="D3" s="18" t="s">
        <v>112</v>
      </c>
      <c r="E3" s="19" t="s">
        <v>113</v>
      </c>
      <c r="F3" s="19"/>
      <c r="G3" s="19" t="n">
        <v>1415.92</v>
      </c>
      <c r="H3" s="19" t="n">
        <v>2831.84</v>
      </c>
      <c r="I3" s="18" t="s">
        <v>107</v>
      </c>
    </row>
    <row r="4" customFormat="false" ht="15" hidden="false" customHeight="false" outlineLevel="0" collapsed="false">
      <c r="A4" s="19" t="s">
        <v>63</v>
      </c>
      <c r="B4" s="19" t="s">
        <v>135</v>
      </c>
      <c r="C4" s="18" t="s">
        <v>63</v>
      </c>
      <c r="D4" s="18" t="s">
        <v>136</v>
      </c>
      <c r="E4" s="19" t="s">
        <v>137</v>
      </c>
      <c r="F4" s="19" t="n">
        <v>194.52</v>
      </c>
      <c r="G4" s="19" t="n">
        <v>1057.88</v>
      </c>
      <c r="H4" s="19" t="n">
        <v>1004.986</v>
      </c>
      <c r="I4" s="18" t="s">
        <v>139</v>
      </c>
    </row>
    <row r="5" customFormat="false" ht="15" hidden="false" customHeight="false" outlineLevel="0" collapsed="false">
      <c r="A5" s="19" t="s">
        <v>63</v>
      </c>
      <c r="B5" s="19" t="s">
        <v>161</v>
      </c>
      <c r="C5" s="18" t="s">
        <v>63</v>
      </c>
      <c r="D5" s="18" t="s">
        <v>162</v>
      </c>
      <c r="E5" s="19" t="s">
        <v>163</v>
      </c>
      <c r="F5" s="19" t="n">
        <v>4.63</v>
      </c>
      <c r="G5" s="19" t="n">
        <v>1.46</v>
      </c>
      <c r="H5" s="19" t="n">
        <v>1.79</v>
      </c>
      <c r="I5" s="18" t="s">
        <v>139</v>
      </c>
    </row>
    <row r="6" customFormat="false" ht="15" hidden="false" customHeight="false" outlineLevel="0" collapsed="false">
      <c r="A6" s="19" t="s">
        <v>1678</v>
      </c>
      <c r="B6" s="19" t="s">
        <v>223</v>
      </c>
      <c r="C6" s="18" t="s">
        <v>199</v>
      </c>
      <c r="D6" s="18" t="s">
        <v>136</v>
      </c>
      <c r="E6" s="19" t="s">
        <v>224</v>
      </c>
      <c r="F6" s="19" t="n">
        <v>194.52</v>
      </c>
      <c r="G6" s="19" t="n">
        <v>1057.88</v>
      </c>
      <c r="H6" s="19" t="n">
        <v>1004.986</v>
      </c>
      <c r="I6" s="18" t="s">
        <v>139</v>
      </c>
    </row>
    <row r="7" customFormat="false" ht="15" hidden="false" customHeight="false" outlineLevel="0" collapsed="false">
      <c r="A7" s="19" t="s">
        <v>1678</v>
      </c>
      <c r="B7" s="19" t="s">
        <v>298</v>
      </c>
      <c r="C7" s="18" t="s">
        <v>274</v>
      </c>
      <c r="D7" s="18" t="s">
        <v>299</v>
      </c>
      <c r="E7" s="19" t="s">
        <v>300</v>
      </c>
      <c r="F7" s="19" t="n">
        <v>0.62</v>
      </c>
      <c r="G7" s="19" t="n">
        <v>1.61</v>
      </c>
      <c r="H7" s="19" t="n">
        <v>1</v>
      </c>
      <c r="I7" s="18" t="s">
        <v>139</v>
      </c>
    </row>
    <row r="8" customFormat="false" ht="15" hidden="false" customHeight="false" outlineLevel="0" collapsed="false">
      <c r="A8" s="19" t="s">
        <v>1678</v>
      </c>
      <c r="B8" s="19" t="s">
        <v>368</v>
      </c>
      <c r="C8" s="18" t="s">
        <v>361</v>
      </c>
      <c r="D8" s="18" t="s">
        <v>369</v>
      </c>
      <c r="E8" s="19" t="s">
        <v>370</v>
      </c>
      <c r="F8" s="19" t="n">
        <v>11.69</v>
      </c>
      <c r="G8" s="19" t="n">
        <v>60.1</v>
      </c>
      <c r="H8" s="19" t="n">
        <v>82</v>
      </c>
      <c r="I8" s="18" t="s">
        <v>139</v>
      </c>
    </row>
    <row r="9" customFormat="false" ht="15" hidden="false" customHeight="false" outlineLevel="0" collapsed="false">
      <c r="A9" s="19" t="s">
        <v>1678</v>
      </c>
      <c r="B9" s="19" t="s">
        <v>400</v>
      </c>
      <c r="C9" s="18" t="s">
        <v>397</v>
      </c>
      <c r="D9" s="18" t="s">
        <v>162</v>
      </c>
      <c r="E9" s="19" t="s">
        <v>163</v>
      </c>
      <c r="F9" s="19" t="n">
        <v>4.63</v>
      </c>
      <c r="G9" s="19" t="n">
        <v>1.46</v>
      </c>
      <c r="H9" s="19" t="n">
        <v>1.79</v>
      </c>
      <c r="I9" s="18" t="s">
        <v>139</v>
      </c>
    </row>
    <row r="10" customFormat="false" ht="15" hidden="false" customHeight="false" outlineLevel="0" collapsed="false">
      <c r="A10" s="19" t="s">
        <v>1678</v>
      </c>
      <c r="B10" s="19" t="s">
        <v>435</v>
      </c>
      <c r="C10" s="18" t="s">
        <v>432</v>
      </c>
      <c r="D10" s="18" t="s">
        <v>105</v>
      </c>
      <c r="E10" s="19" t="s">
        <v>436</v>
      </c>
      <c r="F10" s="19" t="n">
        <v>1526</v>
      </c>
      <c r="G10" s="19" t="n">
        <v>1156.52</v>
      </c>
      <c r="H10" s="19" t="n">
        <v>2313.04</v>
      </c>
      <c r="I10" s="18" t="s">
        <v>107</v>
      </c>
    </row>
    <row r="11" customFormat="false" ht="15" hidden="false" customHeight="false" outlineLevel="0" collapsed="false">
      <c r="A11" s="19" t="s">
        <v>1678</v>
      </c>
      <c r="B11" s="19" t="s">
        <v>438</v>
      </c>
      <c r="C11" s="18" t="s">
        <v>432</v>
      </c>
      <c r="D11" s="18" t="s">
        <v>112</v>
      </c>
      <c r="E11" s="19" t="s">
        <v>113</v>
      </c>
      <c r="F11" s="19"/>
      <c r="G11" s="19" t="n">
        <v>1415.92</v>
      </c>
      <c r="H11" s="19" t="n">
        <v>2831.84</v>
      </c>
      <c r="I11" s="18" t="s">
        <v>107</v>
      </c>
    </row>
    <row r="12" customFormat="false" ht="15" hidden="false" customHeight="false" outlineLevel="0" collapsed="false">
      <c r="A12" s="19" t="s">
        <v>1678</v>
      </c>
      <c r="B12" s="19" t="s">
        <v>443</v>
      </c>
      <c r="C12" s="18" t="s">
        <v>432</v>
      </c>
      <c r="D12" s="18" t="s">
        <v>444</v>
      </c>
      <c r="E12" s="19" t="s">
        <v>445</v>
      </c>
      <c r="F12" s="19" t="n">
        <v>300</v>
      </c>
      <c r="G12" s="19" t="n">
        <v>7926.93</v>
      </c>
      <c r="H12" s="19" t="n">
        <v>725</v>
      </c>
      <c r="I12" s="18" t="s">
        <v>139</v>
      </c>
    </row>
    <row r="13" customFormat="false" ht="22.35" hidden="false" customHeight="false" outlineLevel="0" collapsed="false">
      <c r="A13" s="19" t="s">
        <v>1678</v>
      </c>
      <c r="B13" s="19" t="s">
        <v>453</v>
      </c>
      <c r="C13" s="18" t="s">
        <v>432</v>
      </c>
      <c r="D13" s="18" t="s">
        <v>454</v>
      </c>
      <c r="E13" s="19" t="s">
        <v>455</v>
      </c>
      <c r="F13" s="19"/>
      <c r="G13" s="19" t="n">
        <v>100</v>
      </c>
      <c r="H13" s="19" t="n">
        <v>100</v>
      </c>
      <c r="I13" s="18" t="s">
        <v>456</v>
      </c>
    </row>
    <row r="14" customFormat="false" ht="15" hidden="false" customHeight="false" outlineLevel="0" collapsed="false">
      <c r="A14" s="19" t="s">
        <v>1679</v>
      </c>
      <c r="B14" s="19" t="s">
        <v>600</v>
      </c>
      <c r="C14" s="18" t="s">
        <v>580</v>
      </c>
      <c r="D14" s="18" t="s">
        <v>601</v>
      </c>
      <c r="E14" s="19" t="s">
        <v>602</v>
      </c>
      <c r="F14" s="19" t="n">
        <v>66.23</v>
      </c>
      <c r="G14" s="19" t="n">
        <v>2.2</v>
      </c>
      <c r="H14" s="19" t="n">
        <v>12.5</v>
      </c>
      <c r="I14" s="18" t="s">
        <v>139</v>
      </c>
    </row>
    <row r="15" customFormat="false" ht="15" hidden="false" customHeight="false" outlineLevel="0" collapsed="false">
      <c r="A15" s="19" t="s">
        <v>1679</v>
      </c>
      <c r="B15" s="19" t="s">
        <v>634</v>
      </c>
      <c r="C15" s="18" t="s">
        <v>617</v>
      </c>
      <c r="D15" s="18" t="s">
        <v>136</v>
      </c>
      <c r="E15" s="19" t="s">
        <v>224</v>
      </c>
      <c r="F15" s="19" t="n">
        <v>194.52</v>
      </c>
      <c r="G15" s="19" t="n">
        <v>1057.88</v>
      </c>
      <c r="H15" s="19" t="n">
        <v>1004.986</v>
      </c>
      <c r="I15" s="18" t="s">
        <v>139</v>
      </c>
    </row>
    <row r="16" customFormat="false" ht="15" hidden="false" customHeight="false" outlineLevel="0" collapsed="false">
      <c r="A16" s="19" t="s">
        <v>1679</v>
      </c>
      <c r="B16" s="19" t="s">
        <v>865</v>
      </c>
      <c r="C16" s="18" t="s">
        <v>837</v>
      </c>
      <c r="D16" s="18" t="s">
        <v>866</v>
      </c>
      <c r="E16" s="19" t="s">
        <v>867</v>
      </c>
      <c r="F16" s="19"/>
      <c r="G16" s="19" t="n">
        <v>102.82</v>
      </c>
      <c r="H16" s="19" t="n">
        <v>100</v>
      </c>
      <c r="I16" s="18" t="s">
        <v>456</v>
      </c>
    </row>
    <row r="17" customFormat="false" ht="15" hidden="false" customHeight="false" outlineLevel="0" collapsed="false">
      <c r="A17" s="19" t="s">
        <v>1679</v>
      </c>
      <c r="B17" s="19" t="s">
        <v>873</v>
      </c>
      <c r="C17" s="18" t="s">
        <v>837</v>
      </c>
      <c r="D17" s="18" t="s">
        <v>299</v>
      </c>
      <c r="E17" s="19" t="s">
        <v>300</v>
      </c>
      <c r="F17" s="19" t="n">
        <v>0.62</v>
      </c>
      <c r="G17" s="19" t="n">
        <v>1.61</v>
      </c>
      <c r="H17" s="19" t="n">
        <v>1</v>
      </c>
      <c r="I17" s="18" t="s">
        <v>139</v>
      </c>
    </row>
    <row r="18" customFormat="false" ht="15" hidden="false" customHeight="false" outlineLevel="0" collapsed="false">
      <c r="A18" s="19" t="s">
        <v>1679</v>
      </c>
      <c r="B18" s="19" t="s">
        <v>1094</v>
      </c>
      <c r="C18" s="18" t="s">
        <v>1074</v>
      </c>
      <c r="D18" s="18" t="s">
        <v>1095</v>
      </c>
      <c r="E18" s="19" t="s">
        <v>1096</v>
      </c>
      <c r="F18" s="19"/>
      <c r="G18" s="19" t="n">
        <v>0</v>
      </c>
      <c r="H18" s="19"/>
      <c r="I18" s="18" t="s">
        <v>2332</v>
      </c>
    </row>
    <row r="19" customFormat="false" ht="15" hidden="false" customHeight="false" outlineLevel="0" collapsed="false">
      <c r="A19" s="19" t="s">
        <v>1679</v>
      </c>
      <c r="B19" s="19" t="s">
        <v>1126</v>
      </c>
      <c r="C19" s="18" t="s">
        <v>1114</v>
      </c>
      <c r="D19" s="18" t="s">
        <v>1127</v>
      </c>
      <c r="E19" s="19" t="s">
        <v>1128</v>
      </c>
      <c r="F19" s="19"/>
      <c r="G19" s="19" t="n">
        <v>0</v>
      </c>
      <c r="H19" s="19"/>
      <c r="I19" s="18" t="s">
        <v>2332</v>
      </c>
    </row>
    <row r="20" customFormat="false" ht="15" hidden="false" customHeight="false" outlineLevel="0" collapsed="false">
      <c r="A20" s="19" t="s">
        <v>1679</v>
      </c>
      <c r="B20" s="19" t="s">
        <v>1129</v>
      </c>
      <c r="C20" s="18" t="s">
        <v>1114</v>
      </c>
      <c r="D20" s="18" t="s">
        <v>1130</v>
      </c>
      <c r="E20" s="19" t="s">
        <v>1131</v>
      </c>
      <c r="F20" s="19"/>
      <c r="G20" s="19" t="n">
        <v>0</v>
      </c>
      <c r="H20" s="19"/>
      <c r="I20" s="18" t="s">
        <v>2332</v>
      </c>
    </row>
    <row r="21" customFormat="false" ht="15" hidden="false" customHeight="false" outlineLevel="0" collapsed="false">
      <c r="A21" s="19" t="s">
        <v>1679</v>
      </c>
      <c r="B21" s="19" t="s">
        <v>1150</v>
      </c>
      <c r="C21" s="18" t="s">
        <v>1146</v>
      </c>
      <c r="D21" s="18" t="s">
        <v>1151</v>
      </c>
      <c r="E21" s="19" t="s">
        <v>1152</v>
      </c>
      <c r="F21" s="19"/>
      <c r="G21" s="19" t="n">
        <v>0</v>
      </c>
      <c r="H21" s="19"/>
      <c r="I21" s="18" t="s">
        <v>2332</v>
      </c>
    </row>
    <row r="22" customFormat="false" ht="15" hidden="false" customHeight="false" outlineLevel="0" collapsed="false">
      <c r="A22" s="19" t="s">
        <v>1679</v>
      </c>
      <c r="B22" s="19" t="s">
        <v>1159</v>
      </c>
      <c r="C22" s="18" t="s">
        <v>1146</v>
      </c>
      <c r="D22" s="18" t="s">
        <v>1160</v>
      </c>
      <c r="E22" s="19" t="s">
        <v>1161</v>
      </c>
      <c r="F22" s="19"/>
      <c r="G22" s="19" t="n">
        <v>0</v>
      </c>
      <c r="H22" s="19"/>
      <c r="I22" s="18" t="s">
        <v>2332</v>
      </c>
    </row>
    <row r="23" customFormat="false" ht="15" hidden="false" customHeight="false" outlineLevel="0" collapsed="false">
      <c r="A23" s="19" t="s">
        <v>1679</v>
      </c>
      <c r="B23" s="19" t="s">
        <v>1170</v>
      </c>
      <c r="C23" s="18" t="s">
        <v>1146</v>
      </c>
      <c r="D23" s="18" t="s">
        <v>1171</v>
      </c>
      <c r="E23" s="19" t="s">
        <v>1172</v>
      </c>
      <c r="F23" s="19"/>
      <c r="G23" s="19" t="n">
        <v>0</v>
      </c>
      <c r="H23" s="19"/>
      <c r="I23" s="18" t="s">
        <v>2332</v>
      </c>
    </row>
    <row r="24" customFormat="false" ht="15" hidden="false" customHeight="false" outlineLevel="0" collapsed="false">
      <c r="A24" s="19" t="s">
        <v>1679</v>
      </c>
      <c r="B24" s="19" t="s">
        <v>1214</v>
      </c>
      <c r="C24" s="18" t="s">
        <v>1210</v>
      </c>
      <c r="D24" s="18" t="s">
        <v>1215</v>
      </c>
      <c r="E24" s="19" t="s">
        <v>1216</v>
      </c>
      <c r="F24" s="19"/>
      <c r="G24" s="19" t="n">
        <v>0</v>
      </c>
      <c r="H24" s="19"/>
      <c r="I24" s="18" t="s">
        <v>2332</v>
      </c>
    </row>
    <row r="25" customFormat="false" ht="15" hidden="false" customHeight="false" outlineLevel="0" collapsed="false">
      <c r="A25" s="19" t="s">
        <v>1679</v>
      </c>
      <c r="B25" s="19" t="s">
        <v>1223</v>
      </c>
      <c r="C25" s="18" t="s">
        <v>1210</v>
      </c>
      <c r="D25" s="18" t="s">
        <v>1224</v>
      </c>
      <c r="E25" s="19" t="s">
        <v>1225</v>
      </c>
      <c r="F25" s="19"/>
      <c r="G25" s="19" t="n">
        <v>0</v>
      </c>
      <c r="H25" s="19"/>
      <c r="I25" s="18" t="s">
        <v>2332</v>
      </c>
    </row>
    <row r="26" customFormat="false" ht="15" hidden="false" customHeight="false" outlineLevel="0" collapsed="false">
      <c r="A26" s="19" t="s">
        <v>1679</v>
      </c>
      <c r="B26" s="19" t="s">
        <v>1232</v>
      </c>
      <c r="C26" s="18" t="s">
        <v>1210</v>
      </c>
      <c r="D26" s="18" t="s">
        <v>1233</v>
      </c>
      <c r="E26" s="19" t="s">
        <v>1234</v>
      </c>
      <c r="F26" s="19"/>
      <c r="G26" s="19" t="n">
        <v>0</v>
      </c>
      <c r="H26" s="19"/>
      <c r="I26" s="18" t="s">
        <v>2332</v>
      </c>
    </row>
    <row r="27" customFormat="false" ht="22.35" hidden="false" customHeight="false" outlineLevel="0" collapsed="false">
      <c r="A27" s="19" t="s">
        <v>1679</v>
      </c>
      <c r="B27" s="19" t="s">
        <v>1244</v>
      </c>
      <c r="C27" s="18" t="s">
        <v>1240</v>
      </c>
      <c r="D27" s="18" t="s">
        <v>1245</v>
      </c>
      <c r="E27" s="19" t="s">
        <v>1246</v>
      </c>
      <c r="F27" s="19"/>
      <c r="G27" s="19" t="n">
        <v>0</v>
      </c>
      <c r="H27" s="19"/>
      <c r="I27" s="18" t="s">
        <v>2332</v>
      </c>
    </row>
    <row r="28" customFormat="false" ht="22.35" hidden="false" customHeight="false" outlineLevel="0" collapsed="false">
      <c r="A28" s="19" t="s">
        <v>1679</v>
      </c>
      <c r="B28" s="19" t="s">
        <v>1247</v>
      </c>
      <c r="C28" s="18" t="s">
        <v>1240</v>
      </c>
      <c r="D28" s="18" t="s">
        <v>1248</v>
      </c>
      <c r="E28" s="19" t="s">
        <v>1249</v>
      </c>
      <c r="F28" s="19"/>
      <c r="G28" s="19" t="n">
        <v>0</v>
      </c>
      <c r="H28" s="19"/>
      <c r="I28" s="18" t="s">
        <v>2332</v>
      </c>
    </row>
    <row r="29" customFormat="false" ht="22.35" hidden="false" customHeight="false" outlineLevel="0" collapsed="false">
      <c r="A29" s="19" t="s">
        <v>1679</v>
      </c>
      <c r="B29" s="19" t="s">
        <v>1256</v>
      </c>
      <c r="C29" s="18" t="s">
        <v>1240</v>
      </c>
      <c r="D29" s="18" t="s">
        <v>1257</v>
      </c>
      <c r="E29" s="19" t="s">
        <v>1258</v>
      </c>
      <c r="F29" s="19"/>
      <c r="G29" s="19" t="n">
        <v>0</v>
      </c>
      <c r="H29" s="19"/>
      <c r="I29" s="18" t="s">
        <v>2332</v>
      </c>
    </row>
    <row r="30" customFormat="false" ht="22.35" hidden="false" customHeight="false" outlineLevel="0" collapsed="false">
      <c r="A30" s="19" t="s">
        <v>1679</v>
      </c>
      <c r="B30" s="19" t="s">
        <v>1259</v>
      </c>
      <c r="C30" s="18" t="s">
        <v>1240</v>
      </c>
      <c r="D30" s="18" t="s">
        <v>1260</v>
      </c>
      <c r="E30" s="19" t="s">
        <v>1261</v>
      </c>
      <c r="F30" s="19"/>
      <c r="G30" s="19" t="n">
        <v>0</v>
      </c>
      <c r="H30" s="19"/>
      <c r="I30" s="18" t="s">
        <v>2332</v>
      </c>
    </row>
    <row r="31" customFormat="false" ht="22.35" hidden="false" customHeight="false" outlineLevel="0" collapsed="false">
      <c r="A31" s="19" t="s">
        <v>1679</v>
      </c>
      <c r="B31" s="19" t="s">
        <v>1266</v>
      </c>
      <c r="C31" s="18" t="s">
        <v>1240</v>
      </c>
      <c r="D31" s="18" t="s">
        <v>1267</v>
      </c>
      <c r="E31" s="19" t="s">
        <v>1268</v>
      </c>
      <c r="F31" s="19"/>
      <c r="G31" s="19" t="n">
        <v>0</v>
      </c>
      <c r="H31" s="19"/>
      <c r="I31" s="18" t="s">
        <v>2332</v>
      </c>
    </row>
    <row r="32" customFormat="false" ht="15" hidden="false" customHeight="false" outlineLevel="0" collapsed="false">
      <c r="A32" s="19" t="s">
        <v>1679</v>
      </c>
      <c r="B32" s="19" t="s">
        <v>1289</v>
      </c>
      <c r="C32" s="18" t="s">
        <v>1273</v>
      </c>
      <c r="D32" s="18" t="s">
        <v>369</v>
      </c>
      <c r="E32" s="19" t="s">
        <v>370</v>
      </c>
      <c r="F32" s="19" t="n">
        <v>11.69</v>
      </c>
      <c r="G32" s="19" t="n">
        <v>60.1</v>
      </c>
      <c r="H32" s="19" t="n">
        <v>82</v>
      </c>
      <c r="I32" s="18" t="s">
        <v>139</v>
      </c>
    </row>
    <row r="33" customFormat="false" ht="15" hidden="false" customHeight="false" outlineLevel="0" collapsed="false">
      <c r="A33" s="19" t="s">
        <v>1679</v>
      </c>
      <c r="B33" s="19" t="s">
        <v>1297</v>
      </c>
      <c r="C33" s="18" t="s">
        <v>1273</v>
      </c>
      <c r="D33" s="18" t="s">
        <v>1298</v>
      </c>
      <c r="E33" s="19" t="s">
        <v>1299</v>
      </c>
      <c r="F33" s="19" t="n">
        <v>5.25</v>
      </c>
      <c r="G33" s="19" t="n">
        <v>15.96</v>
      </c>
      <c r="H33" s="19" t="n">
        <v>5</v>
      </c>
      <c r="I33" s="18" t="s">
        <v>139</v>
      </c>
    </row>
    <row r="34" customFormat="false" ht="15" hidden="false" customHeight="false" outlineLevel="0" collapsed="false">
      <c r="A34" s="19" t="s">
        <v>1679</v>
      </c>
      <c r="B34" s="19" t="s">
        <v>1345</v>
      </c>
      <c r="C34" s="18" t="s">
        <v>1332</v>
      </c>
      <c r="D34" s="18" t="s">
        <v>1346</v>
      </c>
      <c r="E34" s="19" t="s">
        <v>1347</v>
      </c>
      <c r="F34" s="19"/>
      <c r="G34" s="19" t="n">
        <v>100</v>
      </c>
      <c r="H34" s="19" t="n">
        <v>100</v>
      </c>
      <c r="I34" s="18" t="s">
        <v>456</v>
      </c>
    </row>
    <row r="35" customFormat="false" ht="15" hidden="false" customHeight="false" outlineLevel="0" collapsed="false">
      <c r="A35" s="19" t="s">
        <v>1679</v>
      </c>
      <c r="B35" s="19" t="s">
        <v>1348</v>
      </c>
      <c r="C35" s="18" t="s">
        <v>1332</v>
      </c>
      <c r="D35" s="18" t="s">
        <v>162</v>
      </c>
      <c r="E35" s="19" t="s">
        <v>163</v>
      </c>
      <c r="F35" s="19" t="n">
        <v>4.63</v>
      </c>
      <c r="G35" s="19" t="n">
        <v>1.46</v>
      </c>
      <c r="H35" s="19" t="n">
        <v>1.79</v>
      </c>
      <c r="I35" s="18" t="s">
        <v>139</v>
      </c>
    </row>
    <row r="36" customFormat="false" ht="15" hidden="false" customHeight="false" outlineLevel="0" collapsed="false">
      <c r="A36" s="19" t="s">
        <v>1679</v>
      </c>
      <c r="B36" s="19" t="s">
        <v>1349</v>
      </c>
      <c r="C36" s="18" t="s">
        <v>1332</v>
      </c>
      <c r="D36" s="18" t="s">
        <v>1350</v>
      </c>
      <c r="E36" s="19" t="s">
        <v>1351</v>
      </c>
      <c r="F36" s="19" t="n">
        <v>7.55</v>
      </c>
      <c r="G36" s="19" t="n">
        <v>2.73</v>
      </c>
      <c r="H36" s="19" t="n">
        <v>4.365</v>
      </c>
      <c r="I36" s="18" t="s">
        <v>139</v>
      </c>
    </row>
    <row r="37" customFormat="false" ht="15" hidden="false" customHeight="false" outlineLevel="0" collapsed="false">
      <c r="A37" s="19" t="s">
        <v>1679</v>
      </c>
      <c r="B37" s="19" t="s">
        <v>1404</v>
      </c>
      <c r="C37" s="18" t="s">
        <v>1391</v>
      </c>
      <c r="D37" s="18" t="s">
        <v>105</v>
      </c>
      <c r="E37" s="19" t="s">
        <v>436</v>
      </c>
      <c r="F37" s="19" t="n">
        <v>1526</v>
      </c>
      <c r="G37" s="19" t="n">
        <v>1156.52</v>
      </c>
      <c r="H37" s="19" t="n">
        <v>2313.04</v>
      </c>
      <c r="I37" s="18" t="s">
        <v>107</v>
      </c>
    </row>
    <row r="38" customFormat="false" ht="15" hidden="false" customHeight="false" outlineLevel="0" collapsed="false">
      <c r="A38" s="19" t="s">
        <v>1679</v>
      </c>
      <c r="B38" s="19" t="s">
        <v>1405</v>
      </c>
      <c r="C38" s="18" t="s">
        <v>1391</v>
      </c>
      <c r="D38" s="18" t="s">
        <v>112</v>
      </c>
      <c r="E38" s="19" t="s">
        <v>113</v>
      </c>
      <c r="F38" s="19"/>
      <c r="G38" s="19" t="n">
        <v>1415.92</v>
      </c>
      <c r="H38" s="19" t="n">
        <v>2831.84</v>
      </c>
      <c r="I38" s="18" t="s">
        <v>107</v>
      </c>
    </row>
    <row r="39" customFormat="false" ht="15" hidden="false" customHeight="false" outlineLevel="0" collapsed="false">
      <c r="A39" s="19" t="s">
        <v>1679</v>
      </c>
      <c r="B39" s="19" t="s">
        <v>1467</v>
      </c>
      <c r="C39" s="18" t="s">
        <v>1447</v>
      </c>
      <c r="D39" s="18" t="s">
        <v>444</v>
      </c>
      <c r="E39" s="19" t="s">
        <v>445</v>
      </c>
      <c r="F39" s="19" t="n">
        <v>300</v>
      </c>
      <c r="G39" s="19" t="n">
        <v>7926.93</v>
      </c>
      <c r="H39" s="19" t="n">
        <v>725</v>
      </c>
      <c r="I39" s="18" t="s">
        <v>139</v>
      </c>
    </row>
    <row r="40" customFormat="false" ht="22.35" hidden="false" customHeight="false" outlineLevel="0" collapsed="false">
      <c r="A40" s="19" t="s">
        <v>1679</v>
      </c>
      <c r="B40" s="19" t="s">
        <v>1469</v>
      </c>
      <c r="C40" s="18" t="s">
        <v>1447</v>
      </c>
      <c r="D40" s="18" t="s">
        <v>454</v>
      </c>
      <c r="E40" s="19" t="s">
        <v>455</v>
      </c>
      <c r="F40" s="19"/>
      <c r="G40" s="19" t="n">
        <v>100</v>
      </c>
      <c r="H40" s="19" t="n">
        <v>100</v>
      </c>
      <c r="I40" s="18" t="s">
        <v>456</v>
      </c>
    </row>
    <row r="41" customFormat="false" ht="15" hidden="false" customHeight="false" outlineLevel="0" collapsed="false">
      <c r="A41" s="19" t="s">
        <v>1679</v>
      </c>
      <c r="B41" s="19" t="s">
        <v>1506</v>
      </c>
      <c r="C41" s="18" t="s">
        <v>1494</v>
      </c>
      <c r="D41" s="18" t="s">
        <v>1507</v>
      </c>
      <c r="E41" s="19" t="s">
        <v>1508</v>
      </c>
      <c r="F41" s="19" t="n">
        <v>1002</v>
      </c>
      <c r="G41" s="19" t="n">
        <v>421</v>
      </c>
      <c r="H41" s="19" t="n">
        <v>390</v>
      </c>
      <c r="I41" s="18" t="s">
        <v>139</v>
      </c>
    </row>
    <row r="42" customFormat="false" ht="15" hidden="false" customHeight="false" outlineLevel="0" collapsed="false">
      <c r="A42" s="19" t="s">
        <v>1679</v>
      </c>
      <c r="B42" s="19" t="s">
        <v>1618</v>
      </c>
      <c r="C42" s="18" t="s">
        <v>1605</v>
      </c>
      <c r="D42" s="18" t="s">
        <v>1619</v>
      </c>
      <c r="E42" s="19" t="s">
        <v>1620</v>
      </c>
      <c r="F42" s="19" t="n">
        <v>35.57</v>
      </c>
      <c r="G42" s="19" t="n">
        <v>3.15</v>
      </c>
      <c r="H42" s="19" t="n">
        <v>2.9925</v>
      </c>
      <c r="I42" s="18" t="s">
        <v>139</v>
      </c>
    </row>
    <row r="43" customFormat="false" ht="15" hidden="false" customHeight="false" outlineLevel="0" collapsed="false">
      <c r="A43" s="19" t="s">
        <v>1679</v>
      </c>
      <c r="B43" s="19" t="s">
        <v>1640</v>
      </c>
      <c r="C43" s="18" t="s">
        <v>1634</v>
      </c>
      <c r="D43" s="18" t="s">
        <v>1641</v>
      </c>
      <c r="E43" s="19" t="s">
        <v>1642</v>
      </c>
      <c r="F43" s="19"/>
      <c r="G43" s="19"/>
      <c r="H43" s="19" t="n">
        <v>0</v>
      </c>
      <c r="I43" s="18" t="s">
        <v>1643</v>
      </c>
    </row>
    <row r="44" customFormat="false" ht="15" hidden="false" customHeight="false" outlineLevel="0" collapsed="false">
      <c r="A44" s="19" t="s">
        <v>1679</v>
      </c>
      <c r="B44" s="19" t="s">
        <v>1659</v>
      </c>
      <c r="C44" s="18" t="s">
        <v>1634</v>
      </c>
      <c r="D44" s="18" t="s">
        <v>1660</v>
      </c>
      <c r="E44" s="19" t="s">
        <v>1661</v>
      </c>
      <c r="F44" s="19"/>
      <c r="G44" s="19"/>
      <c r="H44" s="19"/>
      <c r="I44" s="18" t="s">
        <v>2332</v>
      </c>
    </row>
    <row r="45" customFormat="false" ht="15" hidden="false" customHeight="false" outlineLevel="0" collapsed="false">
      <c r="A45" s="19" t="s">
        <v>1679</v>
      </c>
      <c r="B45" s="19" t="s">
        <v>1671</v>
      </c>
      <c r="C45" s="18" t="s">
        <v>1634</v>
      </c>
      <c r="D45" s="18" t="s">
        <v>1672</v>
      </c>
      <c r="E45" s="19" t="s">
        <v>1673</v>
      </c>
      <c r="F45" s="19"/>
      <c r="G45" s="19"/>
      <c r="H45" s="19" t="n">
        <v>0</v>
      </c>
      <c r="I45" s="18" t="s">
        <v>1643</v>
      </c>
    </row>
    <row r="46" customFormat="false" ht="15" hidden="false" customHeight="false" outlineLevel="0" collapsed="false">
      <c r="A46" s="19" t="s">
        <v>1679</v>
      </c>
      <c r="B46" s="19" t="s">
        <v>1675</v>
      </c>
      <c r="C46" s="18" t="s">
        <v>1634</v>
      </c>
      <c r="D46" s="18" t="s">
        <v>1676</v>
      </c>
      <c r="E46" s="19" t="s">
        <v>1677</v>
      </c>
      <c r="F46" s="19" t="n">
        <v>98</v>
      </c>
      <c r="G46" s="19" t="n">
        <v>1.76</v>
      </c>
      <c r="H46" s="19" t="n">
        <v>5</v>
      </c>
      <c r="I46" s="18" t="s">
        <v>139</v>
      </c>
    </row>
  </sheetData>
  <autoFilter ref="A1:I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2026-10-18T06:25:00Z</dcterms:created>
  <dc:creator>openpyxl</dc:creator>
  <dc:description/>
  <dc:language>en-US</dc:language>
  <cp:lastModifiedBy/>
  <dcterms:modified xsi:type="dcterms:W3CDTF">2026-10-18T06:25:01Z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